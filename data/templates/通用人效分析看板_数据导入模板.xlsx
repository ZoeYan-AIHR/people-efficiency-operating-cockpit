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配置_指标映射" sheetId="2" state="visible" r:id="rId2"/>
    <sheet xmlns:r="http://schemas.openxmlformats.org/officeDocument/2006/relationships" name="02_组织维度" sheetId="3" state="visible" r:id="rId3"/>
    <sheet xmlns:r="http://schemas.openxmlformats.org/officeDocument/2006/relationships" name="03_人力投入_月度" sheetId="4" state="visible" r:id="rId4"/>
    <sheet xmlns:r="http://schemas.openxmlformats.org/officeDocument/2006/relationships" name="04_业务产出_月度" sheetId="5" state="visible" r:id="rId5"/>
    <sheet xmlns:r="http://schemas.openxmlformats.org/officeDocument/2006/relationships" name="05_过程质量_月度" sheetId="6" state="visible" r:id="rId6"/>
    <sheet xmlns:r="http://schemas.openxmlformats.org/officeDocument/2006/relationships" name="06_目标标杆" sheetId="7" state="visible" r:id="rId7"/>
    <sheet xmlns:r="http://schemas.openxmlformats.org/officeDocument/2006/relationships" name="07_行动台账" sheetId="8" state="visible" r:id="rId8"/>
    <sheet xmlns:r="http://schemas.openxmlformats.org/officeDocument/2006/relationships" name="08_指标字典" sheetId="9" state="visible" r:id="rId9"/>
    <sheet xmlns:r="http://schemas.openxmlformats.org/officeDocument/2006/relationships" name="09_自动诊断规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</font>
    <font>
      <b val="1"/>
      <color rgb="0017365D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FFDEB"/>
      </patternFill>
    </fill>
    <fill>
      <patternFill patternType="solid">
        <fgColor rgb="00E2F0D9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4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Config" displayName="tblConfig" ref="A4:N7" headerRowCount="1">
  <autoFilter ref="A4:N7"/>
  <tableColumns count="14">
    <tableColumn id="1" name="scenario_id"/>
    <tableColumn id="2" name="scenario_name"/>
    <tableColumn id="3" name="primary_output_model"/>
    <tableColumn id="4" name="primary_output_metric"/>
    <tableColumn id="5" name="primary_output_unit"/>
    <tableColumn id="6" name="currency"/>
    <tableColumn id="7" name="quality_adjustment_enabled"/>
    <tableColumn id="8" name="quality_adjustment_rule"/>
    <tableColumn id="9" name="fte_rule"/>
    <tableColumn id="10" name="labor_cost_scope"/>
    <tableColumn id="11" name="output_attribution_rule"/>
    <tableColumn id="12" name="comparison_baseline"/>
    <tableColumn id="13" name="yellow_threshold_pct"/>
    <tableColumn id="14" name="red_threshold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rg" displayName="tblOrg" ref="A4:M8" headerRowCount="1">
  <autoFilter ref="A4:M8"/>
  <tableColumns count="13">
    <tableColumn id="1" name="org_code"/>
    <tableColumn id="2" name="org_name"/>
    <tableColumn id="3" name="parent_org_code"/>
    <tableColumn id="4" name="org_level"/>
    <tableColumn id="5" name="business_unit"/>
    <tableColumn id="6" name="region"/>
    <tableColumn id="7" name="org_type"/>
    <tableColumn id="8" name="front_mid_back"/>
    <tableColumn id="9" name="is_profit_center"/>
    <tableColumn id="10" name="effective_start"/>
    <tableColumn id="11" name="effective_end"/>
    <tableColumn id="12" name="org_version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Workforce" displayName="tblWorkforce" ref="A4:AA10" headerRowCount="1">
  <autoFilter ref="A4:AA10"/>
  <tableColumns count="27">
    <tableColumn id="1" name="period"/>
    <tableColumn id="2" name="org_code"/>
    <tableColumn id="3" name="job_family"/>
    <tableColumn id="4" name="job_level"/>
    <tableColumn id="5" name="employment_type"/>
    <tableColumn id="6" name="service_cohort"/>
    <tableColumn id="7" name="average_fte"/>
    <tableColumn id="8" name="headcount_end"/>
    <tableColumn id="9" name="hire_count"/>
    <tableColumn id="10" name="leave_count"/>
    <tableColumn id="11" name="manager_fte"/>
    <tableColumn id="12" name="frontline_fte"/>
    <tableColumn id="13" name="outsourced_fte"/>
    <tableColumn id="14" name="productive_hours"/>
    <tableColumn id="15" name="available_hours"/>
    <tableColumn id="16" name="overtime_hours"/>
    <tableColumn id="17" name="salary_cost"/>
    <tableColumn id="18" name="bonus_cost"/>
    <tableColumn id="19" name="employer_cost"/>
    <tableColumn id="20" name="welfare_cost"/>
    <tableColumn id="21" name="recruitment_cost"/>
    <tableColumn id="22" name="training_cost"/>
    <tableColumn id="23" name="outsourcing_cost"/>
    <tableColumn id="24" name="severance_cost"/>
    <tableColumn id="25" name="labor_cost_total"/>
    <tableColumn id="26" name="effective_hours_utilization"/>
    <tableColumn id="2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utput" displayName="tblOutput" ref="A4:S8" headerRowCount="1">
  <autoFilter ref="A4:S8"/>
  <tableColumns count="19">
    <tableColumn id="1" name="period"/>
    <tableColumn id="2" name="org_code"/>
    <tableColumn id="3" name="business_line"/>
    <tableColumn id="4" name="product_or_project"/>
    <tableColumn id="5" name="output_model"/>
    <tableColumn id="6" name="primary_output_name"/>
    <tableColumn id="7" name="primary_output_value"/>
    <tableColumn id="8" name="primary_output_unit"/>
    <tableColumn id="9" name="recognized_revenue"/>
    <tableColumn id="10" name="gross_profit"/>
    <tableColumn id="11" name="contribution_profit"/>
    <tableColumn id="12" name="operating_profit"/>
    <tableColumn id="13" name="cash_collected"/>
    <tableColumn id="14" name="total_output_qty"/>
    <tableColumn id="15" name="qualified_output_qty"/>
    <tableColumn id="16" name="quality_score"/>
    <tableColumn id="17" name="delivery_on_time_rate"/>
    <tableColumn id="18" name="customer_complaint_rate"/>
    <tableColumn id="19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cess" displayName="tblProcess" ref="A4:M9" headerRowCount="1">
  <autoFilter ref="A4:M9"/>
  <tableColumns count="13">
    <tableColumn id="1" name="period"/>
    <tableColumn id="2" name="org_code"/>
    <tableColumn id="3" name="job_family"/>
    <tableColumn id="4" name="metric_code"/>
    <tableColumn id="5" name="metric_name"/>
    <tableColumn id="6" name="metric_category"/>
    <tableColumn id="7" name="metric_value"/>
    <tableColumn id="8" name="metric_unit"/>
    <tableColumn id="9" name="target_value"/>
    <tableColumn id="10" name="benchmark_value"/>
    <tableColumn id="11" name="direction"/>
    <tableColumn id="12" name="data_source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enchmark" displayName="tblBenchmark" ref="A4:M7" headerRowCount="1">
  <autoFilter ref="A4:M7"/>
  <tableColumns count="13">
    <tableColumn id="1" name="period"/>
    <tableColumn id="2" name="scope_type"/>
    <tableColumn id="3" name="scope_code"/>
    <tableColumn id="4" name="metric_code"/>
    <tableColumn id="5" name="metric_name"/>
    <tableColumn id="6" name="target_value"/>
    <tableColumn id="7" name="budget_value"/>
    <tableColumn id="8" name="internal_benchmark"/>
    <tableColumn id="9" name="external_benchmark"/>
    <tableColumn id="10" name="yellow_threshold"/>
    <tableColumn id="11" name="red_threshold"/>
    <tableColumn id="12" name="higher_is_better"/>
    <tableColumn id="1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ction" displayName="tblAction" ref="A4:Q5" headerRowCount="1">
  <autoFilter ref="A4:Q5"/>
  <tableColumns count="17">
    <tableColumn id="1" name="issue_id"/>
    <tableColumn id="2" name="identified_period"/>
    <tableColumn id="3" name="scope_type"/>
    <tableColumn id="4" name="scope_code"/>
    <tableColumn id="5" name="metric_code"/>
    <tableColumn id="6" name="signal"/>
    <tableColumn id="7" name="root_cause_hypothesis"/>
    <tableColumn id="8" name="action_domain"/>
    <tableColumn id="9" name="action_plan"/>
    <tableColumn id="10" name="owner"/>
    <tableColumn id="11" name="due_date"/>
    <tableColumn id="12" name="expected_impact_metric"/>
    <tableColumn id="13" name="expected_impact_value"/>
    <tableColumn id="14" name="status"/>
    <tableColumn id="15" name="review_date"/>
    <tableColumn id="16" name="actual_result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MetricDictionary" displayName="tblMetricDictionary" ref="A4:I18" headerRowCount="1">
  <autoFilter ref="A4:I18"/>
  <tableColumns count="9">
    <tableColumn id="1" name="metric_code"/>
    <tableColumn id="2" name="metric_name"/>
    <tableColumn id="3" name="category"/>
    <tableColumn id="4" name="formula_logic"/>
    <tableColumn id="5" name="required_fields"/>
    <tableColumn id="6" name="applicability"/>
    <tableColumn id="7" name="direction"/>
    <tableColumn id="8" name="interpretation"/>
    <tableColumn id="9" name="cau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Rules" displayName="tblRules" ref="A4:I10" headerRowCount="1">
  <autoFilter ref="A4:I10"/>
  <tableColumns count="9">
    <tableColumn id="1" name="rule_id"/>
    <tableColumn id="2" name="trigger_fact"/>
    <tableColumn id="3" name="possible_hypothesis"/>
    <tableColumn id="4" name="verification_path"/>
    <tableColumn id="5" name="recommended_action"/>
    <tableColumn id="6" name="action_domain"/>
    <tableColumn id="7" name="severity_default"/>
    <tableColumn id="8" name="applicable_model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  <col width="20" customWidth="1" min="3" max="3"/>
    <col width="46" customWidth="1" min="4" max="4"/>
  </cols>
  <sheetData>
    <row r="1" ht="28" customHeight="1">
      <c r="A1" s="1" t="inlineStr">
        <is>
          <t>通用人效分析看板｜数据导入模板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适用于所有行业的“人力投入 → 组织过程 → 业务产出 → 经营结果”人效分析。黄色单元格为建议录入区；绿色单元格为示例公式/派生字段。建议按月导入，组织编码和统计周期必须全表一致。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模块</t>
        </is>
      </c>
      <c r="B4" s="4" t="inlineStr">
        <is>
          <t>说明</t>
        </is>
      </c>
      <c r="C4" s="2" t="n"/>
      <c r="D4" s="2" t="n"/>
      <c r="E4" s="2" t="n"/>
      <c r="F4" s="2" t="n"/>
      <c r="G4" s="2" t="n"/>
      <c r="H4" s="2" t="n"/>
    </row>
    <row r="5" ht="34" customHeight="1">
      <c r="A5" s="5" t="inlineStr">
        <is>
          <t>一、使用目标</t>
        </is>
      </c>
      <c r="B5" s="6" t="inlineStr">
        <is>
          <t>上传本工作簿中标准化数据后，BI/数据产品可自动生成：经营总览、投入产出、组织结构、岗位/过程质量、预警与行动闭环。</t>
        </is>
      </c>
      <c r="C5" s="2" t="n"/>
      <c r="D5" s="2" t="n"/>
      <c r="E5" s="2" t="n"/>
      <c r="F5" s="2" t="n"/>
      <c r="G5" s="2" t="n"/>
      <c r="H5" s="2" t="n"/>
    </row>
    <row r="6" ht="34" customHeight="1">
      <c r="A6" s="5" t="inlineStr">
        <is>
          <t>二、最小可用导入</t>
        </is>
      </c>
      <c r="B6" s="6" t="inlineStr">
        <is>
          <t>至少维护：02_组织维度、03_人力投入_月度、04_业务产出_月度。缺少过程和质量数据时，系统只生成基础人效与成本效率分析。</t>
        </is>
      </c>
      <c r="C6" s="2" t="n"/>
      <c r="D6" s="2" t="n"/>
      <c r="E6" s="2" t="n"/>
      <c r="F6" s="2" t="n"/>
      <c r="G6" s="2" t="n"/>
      <c r="H6" s="2" t="n"/>
    </row>
    <row r="7" ht="34" customHeight="1">
      <c r="A7" s="5" t="inlineStr">
        <is>
          <t>三、推荐导入顺序</t>
        </is>
      </c>
      <c r="B7" s="6" t="inlineStr">
        <is>
          <t>1. 配置指标映射；2. 更新组织维度；3. 导入人力投入；4. 导入业务产出；5. 补充过程质量、目标标杆与行动台账。</t>
        </is>
      </c>
      <c r="C7" s="2" t="n"/>
      <c r="D7" s="2" t="n"/>
      <c r="E7" s="2" t="n"/>
      <c r="F7" s="2" t="n"/>
      <c r="G7" s="2" t="n"/>
      <c r="H7" s="2" t="n"/>
    </row>
    <row r="8" ht="34" customHeight="1">
      <c r="A8" s="5" t="inlineStr">
        <is>
          <t>四、核心分母</t>
        </is>
      </c>
      <c r="B8" s="6" t="inlineStr">
        <is>
          <t>使用平均FTE，不使用期末静态人数。兼职、外包、共享人员建议按实际工时折算FTE；人员总数仅作辅助观察。</t>
        </is>
      </c>
      <c r="C8" s="2" t="n"/>
      <c r="D8" s="2" t="n"/>
      <c r="E8" s="2" t="n"/>
      <c r="F8" s="2" t="n"/>
      <c r="G8" s="2" t="n"/>
      <c r="H8" s="2" t="n"/>
    </row>
    <row r="9" ht="34" customHeight="1">
      <c r="A9" s="5" t="inlineStr">
        <is>
          <t>五、统一口径</t>
        </is>
      </c>
      <c r="B9" s="6" t="inlineStr">
        <is>
          <t>同一指标必须明确：统计周期、组织责任边界、人工成本范围、收入确认口径、跨组织产出分摊规则、币种及单位。</t>
        </is>
      </c>
      <c r="C9" s="2" t="n"/>
      <c r="D9" s="2" t="n"/>
      <c r="E9" s="2" t="n"/>
      <c r="F9" s="2" t="n"/>
      <c r="G9" s="2" t="n"/>
      <c r="H9" s="2" t="n"/>
    </row>
    <row r="10" ht="34" customHeight="1">
      <c r="A10" s="5" t="inlineStr">
        <is>
          <t>六、输出模型选择</t>
        </is>
      </c>
      <c r="B10" s="6" t="inlineStr">
        <is>
          <t>货币型：以收入/毛利/利润/回款为主；数量型：以合格产量或标准工时为主；项目服务型：以验收交付/服务案例/加权产出点为主。</t>
        </is>
      </c>
      <c r="C10" s="2" t="n"/>
      <c r="D10" s="2" t="n"/>
      <c r="E10" s="2" t="n"/>
      <c r="F10" s="2" t="n"/>
      <c r="G10" s="2" t="n"/>
      <c r="H10" s="2" t="n"/>
    </row>
    <row r="11" ht="34" customHeight="1">
      <c r="A11" s="5" t="inlineStr">
        <is>
          <t>七、数据安全</t>
        </is>
      </c>
      <c r="B11" s="6" t="inlineStr">
        <is>
          <t>MVP建议只导入组织/岗位聚合数据，不导入姓名、身份证、薪资明细等个人敏感信息；个人粒度仅限授权的管理场景。</t>
        </is>
      </c>
      <c r="C11" s="2" t="n"/>
      <c r="D11" s="2" t="n"/>
      <c r="E11" s="2" t="n"/>
      <c r="F11" s="2" t="n"/>
      <c r="G11" s="2" t="n"/>
      <c r="H11" s="2" t="n"/>
    </row>
    <row r="12" ht="34" customHeight="1">
      <c r="A12" s="5" t="inlineStr">
        <is>
          <t>八、自动洞察边界</t>
        </is>
      </c>
      <c r="B12" s="6" t="inlineStr">
        <is>
          <t>系统可以提示“可能原因”和建议核验路径，不能仅凭相关性对员工或部门作因果归责、考核或处分。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导入模块</t>
        </is>
      </c>
      <c r="B15" s="4" t="inlineStr">
        <is>
          <t>是否必填</t>
        </is>
      </c>
      <c r="C15" s="4" t="inlineStr">
        <is>
          <t>数据粒度</t>
        </is>
      </c>
      <c r="D15" s="4" t="inlineStr">
        <is>
          <t>主要用途</t>
        </is>
      </c>
      <c r="E15" s="2" t="n"/>
      <c r="F15" s="2" t="n"/>
      <c r="G15" s="2" t="n"/>
      <c r="H15" s="2" t="n"/>
    </row>
    <row r="16">
      <c r="A16" s="6" t="inlineStr">
        <is>
          <t>01_配置_指标映射</t>
        </is>
      </c>
      <c r="B16" s="7" t="inlineStr">
        <is>
          <t>必填</t>
        </is>
      </c>
      <c r="C16" s="6" t="inlineStr">
        <is>
          <t>企业/场景级</t>
        </is>
      </c>
      <c r="D16" s="6" t="inlineStr">
        <is>
          <t>定义主产出、FTE规则、成本范围、阈值与行业场景</t>
        </is>
      </c>
      <c r="E16" s="2" t="n"/>
      <c r="F16" s="2" t="n"/>
      <c r="G16" s="2" t="n"/>
      <c r="H16" s="2" t="n"/>
    </row>
    <row r="17">
      <c r="A17" s="6" t="inlineStr">
        <is>
          <t>02_组织维度</t>
        </is>
      </c>
      <c r="B17" s="7" t="inlineStr">
        <is>
          <t>必填</t>
        </is>
      </c>
      <c r="C17" s="6" t="inlineStr">
        <is>
          <t>组织版本级</t>
        </is>
      </c>
      <c r="D17" s="6" t="inlineStr">
        <is>
          <t>组织层级、区域、业务线、组织类型和前中后台标记</t>
        </is>
      </c>
      <c r="E17" s="2" t="n"/>
      <c r="F17" s="2" t="n"/>
      <c r="G17" s="2" t="n"/>
      <c r="H17" s="2" t="n"/>
    </row>
    <row r="18">
      <c r="A18" s="6" t="inlineStr">
        <is>
          <t>03_人力投入_月度</t>
        </is>
      </c>
      <c r="B18" s="7" t="inlineStr">
        <is>
          <t>必填</t>
        </is>
      </c>
      <c r="C18" s="6" t="inlineStr">
        <is>
          <t>月 × 组织 × 岗位族</t>
        </is>
      </c>
      <c r="D18" s="6" t="inlineStr">
        <is>
          <t>FTE、人工成本、工时、人员流动和结构</t>
        </is>
      </c>
      <c r="E18" s="2" t="n"/>
      <c r="F18" s="2" t="n"/>
      <c r="G18" s="2" t="n"/>
      <c r="H18" s="2" t="n"/>
    </row>
    <row r="19">
      <c r="A19" s="6" t="inlineStr">
        <is>
          <t>04_业务产出_月度</t>
        </is>
      </c>
      <c r="B19" s="7" t="inlineStr">
        <is>
          <t>必填</t>
        </is>
      </c>
      <c r="C19" s="6" t="inlineStr">
        <is>
          <t>月 × 组织 × 业务线/项目</t>
        </is>
      </c>
      <c r="D19" s="6" t="inlineStr">
        <is>
          <t>收入、毛利、利润、回款、数量/交付与质量</t>
        </is>
      </c>
      <c r="E19" s="2" t="n"/>
      <c r="F19" s="2" t="n"/>
      <c r="G19" s="2" t="n"/>
      <c r="H19" s="2" t="n"/>
    </row>
    <row r="20">
      <c r="A20" s="6" t="inlineStr">
        <is>
          <t>05_过程质量_月度</t>
        </is>
      </c>
      <c r="B20" s="8" t="inlineStr">
        <is>
          <t>推荐</t>
        </is>
      </c>
      <c r="C20" s="6" t="inlineStr">
        <is>
          <t>月 × 组织 × 指标</t>
        </is>
      </c>
      <c r="D20" s="6" t="inlineStr">
        <is>
          <t>招聘、达产、交付、返工、质量、加班、流失等先行指标</t>
        </is>
      </c>
      <c r="E20" s="2" t="n"/>
      <c r="F20" s="2" t="n"/>
      <c r="G20" s="2" t="n"/>
      <c r="H20" s="2" t="n"/>
    </row>
    <row r="21">
      <c r="A21" s="6" t="inlineStr">
        <is>
          <t>06_目标标杆</t>
        </is>
      </c>
      <c r="B21" s="8" t="inlineStr">
        <is>
          <t>推荐</t>
        </is>
      </c>
      <c r="C21" s="6" t="inlineStr">
        <is>
          <t>月 × 分析对象 × 指标</t>
        </is>
      </c>
      <c r="D21" s="6" t="inlineStr">
        <is>
          <t>预算、历史、内部标杆、外部标杆与预警阈值</t>
        </is>
      </c>
      <c r="E21" s="2" t="n"/>
      <c r="F21" s="2" t="n"/>
      <c r="G21" s="2" t="n"/>
      <c r="H21" s="2" t="n"/>
    </row>
    <row r="22">
      <c r="A22" s="6" t="inlineStr">
        <is>
          <t>07_行动台账</t>
        </is>
      </c>
      <c r="B22" s="8" t="inlineStr">
        <is>
          <t>推荐</t>
        </is>
      </c>
      <c r="C22" s="6" t="inlineStr">
        <is>
          <t>问题/动作级</t>
        </is>
      </c>
      <c r="D22" s="6" t="inlineStr">
        <is>
          <t>从异常洞察走到责任、时点、预期收益与复盘</t>
        </is>
      </c>
      <c r="E22" s="2" t="n"/>
      <c r="F22" s="2" t="n"/>
      <c r="G22" s="2" t="n"/>
      <c r="H22" s="2" t="n"/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16" customWidth="1" min="5" max="5"/>
    <col width="12" customWidth="1" min="6" max="6"/>
    <col width="18" customWidth="1" min="7" max="7"/>
    <col width="38" customWidth="1" min="8" max="8"/>
    <col width="34" customWidth="1" min="9" max="9"/>
    <col width="42" customWidth="1" min="10" max="10"/>
    <col width="38" customWidth="1" min="11" max="11"/>
    <col width="25" customWidth="1" min="12" max="12"/>
    <col width="18" customWidth="1" min="13" max="13"/>
    <col width="18" customWidth="1" min="14" max="14"/>
  </cols>
  <sheetData>
    <row r="1" ht="28" customHeight="1">
      <c r="A1" s="1" t="inlineStr">
        <is>
          <t>01｜配置与指标映射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6" customHeight="1">
      <c r="A2" s="3" t="inlineStr">
        <is>
          <t>本页决定通用模板如何适配企业：选择主产出模型、人工成本范围、阈值、可比基线和自动洞察规则。每次导入前请核验。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scenario_id</t>
        </is>
      </c>
      <c r="B4" s="4" t="inlineStr">
        <is>
          <t>scenario_name</t>
        </is>
      </c>
      <c r="C4" s="4" t="inlineStr">
        <is>
          <t>primary_output_model</t>
        </is>
      </c>
      <c r="D4" s="4" t="inlineStr">
        <is>
          <t>primary_output_metric</t>
        </is>
      </c>
      <c r="E4" s="4" t="inlineStr">
        <is>
          <t>primary_output_unit</t>
        </is>
      </c>
      <c r="F4" s="4" t="inlineStr">
        <is>
          <t>currency</t>
        </is>
      </c>
      <c r="G4" s="4" t="inlineStr">
        <is>
          <t>quality_adjustment_enabled</t>
        </is>
      </c>
      <c r="H4" s="4" t="inlineStr">
        <is>
          <t>quality_adjustment_rule</t>
        </is>
      </c>
      <c r="I4" s="4" t="inlineStr">
        <is>
          <t>fte_rule</t>
        </is>
      </c>
      <c r="J4" s="4" t="inlineStr">
        <is>
          <t>labor_cost_scope</t>
        </is>
      </c>
      <c r="K4" s="4" t="inlineStr">
        <is>
          <t>output_attribution_rule</t>
        </is>
      </c>
      <c r="L4" s="4" t="inlineStr">
        <is>
          <t>comparison_baseline</t>
        </is>
      </c>
      <c r="M4" s="4" t="inlineStr">
        <is>
          <t>yellow_threshold_pct</t>
        </is>
      </c>
      <c r="N4" s="4" t="inlineStr">
        <is>
          <t>red_threshold_pct</t>
        </is>
      </c>
    </row>
    <row r="5" ht="42" customHeight="1">
      <c r="A5" s="7" t="inlineStr">
        <is>
          <t>DEFAULT</t>
        </is>
      </c>
      <c r="B5" s="7" t="inlineStr">
        <is>
          <t>通用货币型经营</t>
        </is>
      </c>
      <c r="C5" s="7" t="inlineStr">
        <is>
          <t>货币型</t>
        </is>
      </c>
      <c r="D5" s="7" t="inlineStr">
        <is>
          <t>确认收入</t>
        </is>
      </c>
      <c r="E5" s="7" t="inlineStr">
        <is>
          <t>CNY</t>
        </is>
      </c>
      <c r="F5" s="7" t="inlineStr">
        <is>
          <t>CNY</t>
        </is>
      </c>
      <c r="G5" s="7" t="inlineStr">
        <is>
          <t>是</t>
        </is>
      </c>
      <c r="H5" s="7" t="inlineStr">
        <is>
          <t>质量系数=质量得分/100；未配置时仅展示原始产出</t>
        </is>
      </c>
      <c r="I5" s="7" t="inlineStr">
        <is>
          <t>月均FTE（兼职/外包按工时折算）</t>
        </is>
      </c>
      <c r="J5" s="7" t="inlineStr">
        <is>
          <t>薪酬+奖金+雇主成本+福利+招聘+培训+外包+离职补偿</t>
        </is>
      </c>
      <c r="K5" s="7" t="inlineStr">
        <is>
          <t>按预定义责任比例分摊，避免全额归属单一部门</t>
        </is>
      </c>
      <c r="L5" s="7" t="inlineStr">
        <is>
          <t>预算+同比+内部标杆</t>
        </is>
      </c>
      <c r="M5" s="7" t="n">
        <v>-5</v>
      </c>
      <c r="N5" s="7" t="n">
        <v>-10</v>
      </c>
    </row>
    <row r="6" ht="42" customHeight="1">
      <c r="A6" s="7" t="inlineStr">
        <is>
          <t>MANUFACTURING</t>
        </is>
      </c>
      <c r="B6" s="7" t="inlineStr">
        <is>
          <t>制造/运营型</t>
        </is>
      </c>
      <c r="C6" s="7" t="inlineStr">
        <is>
          <t>数量型</t>
        </is>
      </c>
      <c r="D6" s="7" t="inlineStr">
        <is>
          <t>合格产量</t>
        </is>
      </c>
      <c r="E6" s="7" t="inlineStr">
        <is>
          <t>件</t>
        </is>
      </c>
      <c r="F6" s="7" t="inlineStr">
        <is>
          <t>CNY</t>
        </is>
      </c>
      <c r="G6" s="7" t="inlineStr">
        <is>
          <t>是</t>
        </is>
      </c>
      <c r="H6" s="7" t="inlineStr">
        <is>
          <t>有效产出=合格产量；返工和不合格不计入</t>
        </is>
      </c>
      <c r="I6" s="7" t="inlineStr">
        <is>
          <t>月均FTE</t>
        </is>
      </c>
      <c r="J6" s="7" t="inlineStr">
        <is>
          <t>直接人工+间接人工+外包人工</t>
        </is>
      </c>
      <c r="K6" s="7" t="inlineStr">
        <is>
          <t>产量归属生产组织；共享工时按比例分摊</t>
        </is>
      </c>
      <c r="L6" s="7" t="inlineStr">
        <is>
          <t>同比+单位/产线标杆</t>
        </is>
      </c>
      <c r="M6" s="7" t="n">
        <v>-5</v>
      </c>
      <c r="N6" s="7" t="n">
        <v>-10</v>
      </c>
    </row>
    <row r="7" ht="42" customHeight="1">
      <c r="A7" s="7" t="inlineStr">
        <is>
          <t>PROJECT</t>
        </is>
      </c>
      <c r="B7" s="7" t="inlineStr">
        <is>
          <t>项目/专业服务型</t>
        </is>
      </c>
      <c r="C7" s="7" t="inlineStr">
        <is>
          <t>项目服务型</t>
        </is>
      </c>
      <c r="D7" s="7" t="inlineStr">
        <is>
          <t>加权验收交付点</t>
        </is>
      </c>
      <c r="E7" s="7" t="inlineStr">
        <is>
          <t>点</t>
        </is>
      </c>
      <c r="F7" s="7" t="inlineStr">
        <is>
          <t>CNY</t>
        </is>
      </c>
      <c r="G7" s="7" t="inlineStr">
        <is>
          <t>是</t>
        </is>
      </c>
      <c r="H7" s="7" t="inlineStr">
        <is>
          <t>有效产出=验收交付点×质量系数</t>
        </is>
      </c>
      <c r="I7" s="7" t="inlineStr">
        <is>
          <t>月均FTE</t>
        </is>
      </c>
      <c r="J7" s="7" t="inlineStr">
        <is>
          <t>薪酬+奖金+雇主成本+外包</t>
        </is>
      </c>
      <c r="K7" s="7" t="inlineStr">
        <is>
          <t>按项目角色/工时分摊</t>
        </is>
      </c>
      <c r="L7" s="7" t="inlineStr">
        <is>
          <t>预算+项目同类标杆</t>
        </is>
      </c>
      <c r="M7" s="7" t="n">
        <v>-5</v>
      </c>
      <c r="N7" s="7" t="n">
        <v>-10</v>
      </c>
    </row>
  </sheetData>
  <mergeCells count="2">
    <mergeCell ref="A2:N2"/>
    <mergeCell ref="A1:N1"/>
  </mergeCells>
  <dataValidations count="2">
    <dataValidation sqref="C5:C500" showDropDown="0" showInputMessage="0" showErrorMessage="0" allowBlank="0" type="list">
      <formula1>"货币型,数量型,项目服务型"</formula1>
    </dataValidation>
    <dataValidation sqref="G5:G500" showDropDown="0" showInputMessage="0" showErrorMessage="0" allowBlank="0" type="list">
      <formula1>"是,否"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0" customWidth="1" min="4" max="4"/>
    <col width="18" customWidth="1" min="5" max="5"/>
    <col width="14" customWidth="1" min="6" max="6"/>
    <col width="15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30" customWidth="1" min="13" max="13"/>
  </cols>
  <sheetData>
    <row r="1" ht="28" customHeight="1">
      <c r="A1" s="1" t="inlineStr">
        <is>
          <t>02｜组织维度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6" customHeight="1">
      <c r="A2" s="3" t="inlineStr">
        <is>
          <t>一个组织编码对应一个清晰的责任单元。组织调整时请保留有效起止日期/组织版本，保证历史同比可解释。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org_code</t>
        </is>
      </c>
      <c r="B4" s="4" t="inlineStr">
        <is>
          <t>org_name</t>
        </is>
      </c>
      <c r="C4" s="4" t="inlineStr">
        <is>
          <t>parent_org_code</t>
        </is>
      </c>
      <c r="D4" s="4" t="inlineStr">
        <is>
          <t>org_level</t>
        </is>
      </c>
      <c r="E4" s="4" t="inlineStr">
        <is>
          <t>business_unit</t>
        </is>
      </c>
      <c r="F4" s="4" t="inlineStr">
        <is>
          <t>region</t>
        </is>
      </c>
      <c r="G4" s="4" t="inlineStr">
        <is>
          <t>org_type</t>
        </is>
      </c>
      <c r="H4" s="4" t="inlineStr">
        <is>
          <t>front_mid_back</t>
        </is>
      </c>
      <c r="I4" s="4" t="inlineStr">
        <is>
          <t>is_profit_center</t>
        </is>
      </c>
      <c r="J4" s="4" t="inlineStr">
        <is>
          <t>effective_start</t>
        </is>
      </c>
      <c r="K4" s="4" t="inlineStr">
        <is>
          <t>effective_end</t>
        </is>
      </c>
      <c r="L4" s="4" t="inlineStr">
        <is>
          <t>org_version</t>
        </is>
      </c>
      <c r="M4" s="4" t="inlineStr">
        <is>
          <t>notes</t>
        </is>
      </c>
    </row>
    <row r="5">
      <c r="A5" s="7" t="inlineStr">
        <is>
          <t>HQ</t>
        </is>
      </c>
      <c r="B5" s="7" t="inlineStr">
        <is>
          <t>总部</t>
        </is>
      </c>
      <c r="C5" s="7" t="inlineStr"/>
      <c r="D5" s="7" t="inlineStr">
        <is>
          <t>1</t>
        </is>
      </c>
      <c r="E5" s="7" t="inlineStr">
        <is>
          <t>集团</t>
        </is>
      </c>
      <c r="F5" s="7" t="inlineStr">
        <is>
          <t>全国</t>
        </is>
      </c>
      <c r="G5" s="7" t="inlineStr">
        <is>
          <t>管理中心</t>
        </is>
      </c>
      <c r="H5" s="7" t="inlineStr">
        <is>
          <t>中后台</t>
        </is>
      </c>
      <c r="I5" s="7" t="inlineStr">
        <is>
          <t>否</t>
        </is>
      </c>
      <c r="J5" s="7" t="inlineStr">
        <is>
          <t>2026-01-01</t>
        </is>
      </c>
      <c r="K5" s="7" t="inlineStr"/>
      <c r="L5" s="7" t="inlineStr">
        <is>
          <t>V1</t>
        </is>
      </c>
      <c r="M5" s="7" t="inlineStr">
        <is>
          <t>示例组织</t>
        </is>
      </c>
    </row>
    <row r="6">
      <c r="A6" s="7" t="inlineStr">
        <is>
          <t>BU-A</t>
        </is>
      </c>
      <c r="B6" s="7" t="inlineStr">
        <is>
          <t>事业部A</t>
        </is>
      </c>
      <c r="C6" s="7" t="inlineStr">
        <is>
          <t>HQ</t>
        </is>
      </c>
      <c r="D6" s="7" t="inlineStr">
        <is>
          <t>2</t>
        </is>
      </c>
      <c r="E6" s="7" t="inlineStr">
        <is>
          <t>业务A</t>
        </is>
      </c>
      <c r="F6" s="7" t="inlineStr">
        <is>
          <t>华东</t>
        </is>
      </c>
      <c r="G6" s="7" t="inlineStr">
        <is>
          <t>事业部</t>
        </is>
      </c>
      <c r="H6" s="7" t="inlineStr">
        <is>
          <t>前台</t>
        </is>
      </c>
      <c r="I6" s="7" t="inlineStr">
        <is>
          <t>是</t>
        </is>
      </c>
      <c r="J6" s="7" t="inlineStr">
        <is>
          <t>2026-01-01</t>
        </is>
      </c>
      <c r="K6" s="7" t="inlineStr"/>
      <c r="L6" s="7" t="inlineStr">
        <is>
          <t>V1</t>
        </is>
      </c>
      <c r="M6" s="7" t="inlineStr">
        <is>
          <t>示例组织</t>
        </is>
      </c>
    </row>
    <row r="7">
      <c r="A7" s="7" t="inlineStr">
        <is>
          <t>BU-B</t>
        </is>
      </c>
      <c r="B7" s="7" t="inlineStr">
        <is>
          <t>事业部B</t>
        </is>
      </c>
      <c r="C7" s="7" t="inlineStr">
        <is>
          <t>HQ</t>
        </is>
      </c>
      <c r="D7" s="7" t="inlineStr">
        <is>
          <t>2</t>
        </is>
      </c>
      <c r="E7" s="7" t="inlineStr">
        <is>
          <t>业务B</t>
        </is>
      </c>
      <c r="F7" s="7" t="inlineStr">
        <is>
          <t>华南</t>
        </is>
      </c>
      <c r="G7" s="7" t="inlineStr">
        <is>
          <t>事业部</t>
        </is>
      </c>
      <c r="H7" s="7" t="inlineStr">
        <is>
          <t>前台</t>
        </is>
      </c>
      <c r="I7" s="7" t="inlineStr">
        <is>
          <t>是</t>
        </is>
      </c>
      <c r="J7" s="7" t="inlineStr">
        <is>
          <t>2026-01-01</t>
        </is>
      </c>
      <c r="K7" s="7" t="inlineStr"/>
      <c r="L7" s="7" t="inlineStr">
        <is>
          <t>V1</t>
        </is>
      </c>
      <c r="M7" s="7" t="inlineStr">
        <is>
          <t>示例组织</t>
        </is>
      </c>
    </row>
    <row r="8">
      <c r="A8" s="7" t="inlineStr">
        <is>
          <t>OPS-A</t>
        </is>
      </c>
      <c r="B8" s="7" t="inlineStr">
        <is>
          <t>交付运营A</t>
        </is>
      </c>
      <c r="C8" s="7" t="inlineStr">
        <is>
          <t>BU-A</t>
        </is>
      </c>
      <c r="D8" s="7" t="inlineStr">
        <is>
          <t>3</t>
        </is>
      </c>
      <c r="E8" s="7" t="inlineStr">
        <is>
          <t>业务A</t>
        </is>
      </c>
      <c r="F8" s="7" t="inlineStr">
        <is>
          <t>华东</t>
        </is>
      </c>
      <c r="G8" s="7" t="inlineStr">
        <is>
          <t>交付中心</t>
        </is>
      </c>
      <c r="H8" s="7" t="inlineStr">
        <is>
          <t>中台</t>
        </is>
      </c>
      <c r="I8" s="7" t="inlineStr">
        <is>
          <t>否</t>
        </is>
      </c>
      <c r="J8" s="7" t="inlineStr">
        <is>
          <t>2026-01-01</t>
        </is>
      </c>
      <c r="K8" s="7" t="inlineStr"/>
      <c r="L8" s="7" t="inlineStr">
        <is>
          <t>V1</t>
        </is>
      </c>
      <c r="M8" s="7" t="inlineStr">
        <is>
          <t>示例组织</t>
        </is>
      </c>
    </row>
  </sheetData>
  <mergeCells count="2">
    <mergeCell ref="A2:M2"/>
    <mergeCell ref="A1:M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24" customWidth="1" min="26" max="26"/>
    <col width="20" customWidth="1" min="27" max="27"/>
  </cols>
  <sheetData>
    <row r="1" ht="28" customHeight="1">
      <c r="A1" s="1" t="inlineStr">
        <is>
          <t>03｜人力投入（月度）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36" customHeight="1">
      <c r="A2" s="3" t="inlineStr">
        <is>
          <t>推荐粒度：统计月 × 组织 × 岗位族 × 职级 × 用工类型。平均FTE是核心分母；各人工成本构成之和将自动形成labor_cost_total。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4" t="inlineStr">
        <is>
          <t>period</t>
        </is>
      </c>
      <c r="B4" s="4" t="inlineStr">
        <is>
          <t>org_code</t>
        </is>
      </c>
      <c r="C4" s="4" t="inlineStr">
        <is>
          <t>job_family</t>
        </is>
      </c>
      <c r="D4" s="4" t="inlineStr">
        <is>
          <t>job_level</t>
        </is>
      </c>
      <c r="E4" s="4" t="inlineStr">
        <is>
          <t>employment_type</t>
        </is>
      </c>
      <c r="F4" s="4" t="inlineStr">
        <is>
          <t>service_cohort</t>
        </is>
      </c>
      <c r="G4" s="4" t="inlineStr">
        <is>
          <t>average_fte</t>
        </is>
      </c>
      <c r="H4" s="4" t="inlineStr">
        <is>
          <t>headcount_end</t>
        </is>
      </c>
      <c r="I4" s="4" t="inlineStr">
        <is>
          <t>hire_count</t>
        </is>
      </c>
      <c r="J4" s="4" t="inlineStr">
        <is>
          <t>leave_count</t>
        </is>
      </c>
      <c r="K4" s="4" t="inlineStr">
        <is>
          <t>manager_fte</t>
        </is>
      </c>
      <c r="L4" s="4" t="inlineStr">
        <is>
          <t>frontline_fte</t>
        </is>
      </c>
      <c r="M4" s="4" t="inlineStr">
        <is>
          <t>outsourced_fte</t>
        </is>
      </c>
      <c r="N4" s="4" t="inlineStr">
        <is>
          <t>productive_hours</t>
        </is>
      </c>
      <c r="O4" s="4" t="inlineStr">
        <is>
          <t>available_hours</t>
        </is>
      </c>
      <c r="P4" s="4" t="inlineStr">
        <is>
          <t>overtime_hours</t>
        </is>
      </c>
      <c r="Q4" s="4" t="inlineStr">
        <is>
          <t>salary_cost</t>
        </is>
      </c>
      <c r="R4" s="4" t="inlineStr">
        <is>
          <t>bonus_cost</t>
        </is>
      </c>
      <c r="S4" s="4" t="inlineStr">
        <is>
          <t>employer_cost</t>
        </is>
      </c>
      <c r="T4" s="4" t="inlineStr">
        <is>
          <t>welfare_cost</t>
        </is>
      </c>
      <c r="U4" s="4" t="inlineStr">
        <is>
          <t>recruitment_cost</t>
        </is>
      </c>
      <c r="V4" s="4" t="inlineStr">
        <is>
          <t>training_cost</t>
        </is>
      </c>
      <c r="W4" s="4" t="inlineStr">
        <is>
          <t>outsourcing_cost</t>
        </is>
      </c>
      <c r="X4" s="4" t="inlineStr">
        <is>
          <t>severance_cost</t>
        </is>
      </c>
      <c r="Y4" s="4" t="inlineStr">
        <is>
          <t>labor_cost_total</t>
        </is>
      </c>
      <c r="Z4" s="4" t="inlineStr">
        <is>
          <t>effective_hours_utilization</t>
        </is>
      </c>
      <c r="AA4" s="4" t="inlineStr">
        <is>
          <t>notes</t>
        </is>
      </c>
    </row>
    <row r="5">
      <c r="A5" s="7" t="inlineStr">
        <is>
          <t>2026-06</t>
        </is>
      </c>
      <c r="B5" s="7" t="inlineStr">
        <is>
          <t>BU-A</t>
        </is>
      </c>
      <c r="C5" s="7" t="inlineStr">
        <is>
          <t>销售</t>
        </is>
      </c>
      <c r="D5" s="7" t="inlineStr">
        <is>
          <t>P3</t>
        </is>
      </c>
      <c r="E5" s="7" t="inlineStr">
        <is>
          <t>正式</t>
        </is>
      </c>
      <c r="F5" s="7" t="inlineStr">
        <is>
          <t>成熟(&gt;6月)</t>
        </is>
      </c>
      <c r="G5" s="9" t="n">
        <v>42</v>
      </c>
      <c r="H5" s="9" t="n">
        <v>43</v>
      </c>
      <c r="I5" s="9" t="n">
        <v>2</v>
      </c>
      <c r="J5" s="9" t="n">
        <v>1</v>
      </c>
      <c r="K5" s="9" t="n">
        <v>4</v>
      </c>
      <c r="L5" s="9" t="n">
        <v>34</v>
      </c>
      <c r="M5" s="9" t="n">
        <v>4</v>
      </c>
      <c r="N5" s="9" t="n">
        <v>6200</v>
      </c>
      <c r="O5" s="9" t="n">
        <v>6800</v>
      </c>
      <c r="P5" s="9" t="n">
        <v>320</v>
      </c>
      <c r="Q5" s="9" t="n">
        <v>2100000</v>
      </c>
      <c r="R5" s="9" t="n">
        <v>300000</v>
      </c>
      <c r="S5" s="9" t="n">
        <v>500000</v>
      </c>
      <c r="T5" s="9" t="n">
        <v>150000</v>
      </c>
      <c r="U5" s="9" t="n">
        <v>30000</v>
      </c>
      <c r="V5" s="9" t="n">
        <v>20000</v>
      </c>
      <c r="W5" s="9" t="n">
        <v>180000</v>
      </c>
      <c r="X5" s="9" t="n">
        <v>0</v>
      </c>
      <c r="Y5" s="10">
        <f>SUM(Q5:X5)</f>
        <v/>
      </c>
      <c r="Z5" s="11">
        <f>IFERROR(N5/O5,"")</f>
        <v/>
      </c>
      <c r="AA5" s="7" t="inlineStr">
        <is>
          <t>示例</t>
        </is>
      </c>
    </row>
    <row r="6">
      <c r="A6" s="7" t="inlineStr">
        <is>
          <t>2026-06</t>
        </is>
      </c>
      <c r="B6" s="7" t="inlineStr">
        <is>
          <t>BU-A</t>
        </is>
      </c>
      <c r="C6" s="7" t="inlineStr">
        <is>
          <t>交付</t>
        </is>
      </c>
      <c r="D6" s="7" t="inlineStr">
        <is>
          <t>P2-P3</t>
        </is>
      </c>
      <c r="E6" s="7" t="inlineStr">
        <is>
          <t>正式</t>
        </is>
      </c>
      <c r="F6" s="7" t="inlineStr">
        <is>
          <t>成熟(&gt;6月)</t>
        </is>
      </c>
      <c r="G6" s="9" t="n">
        <v>28</v>
      </c>
      <c r="H6" s="9" t="n">
        <v>29</v>
      </c>
      <c r="I6" s="9" t="n">
        <v>2</v>
      </c>
      <c r="J6" s="9" t="n">
        <v>1</v>
      </c>
      <c r="K6" s="9" t="n">
        <v>3</v>
      </c>
      <c r="L6" s="9" t="n">
        <v>24</v>
      </c>
      <c r="M6" s="9" t="n">
        <v>2</v>
      </c>
      <c r="N6" s="9" t="n">
        <v>4000</v>
      </c>
      <c r="O6" s="9" t="n">
        <v>4600</v>
      </c>
      <c r="P6" s="9" t="n">
        <v>280</v>
      </c>
      <c r="Q6" s="9" t="n">
        <v>1120000</v>
      </c>
      <c r="R6" s="9" t="n">
        <v>100000</v>
      </c>
      <c r="S6" s="9" t="n">
        <v>270000</v>
      </c>
      <c r="T6" s="9" t="n">
        <v>90000</v>
      </c>
      <c r="U6" s="9" t="n">
        <v>15000</v>
      </c>
      <c r="V6" s="9" t="n">
        <v>30000</v>
      </c>
      <c r="W6" s="9" t="n">
        <v>90000</v>
      </c>
      <c r="X6" s="9" t="n">
        <v>0</v>
      </c>
      <c r="Y6" s="10">
        <f>SUM(Q6:X6)</f>
        <v/>
      </c>
      <c r="Z6" s="11">
        <f>IFERROR(N6/O6,"")</f>
        <v/>
      </c>
      <c r="AA6" s="7" t="inlineStr">
        <is>
          <t>示例</t>
        </is>
      </c>
    </row>
    <row r="7">
      <c r="A7" s="7" t="inlineStr">
        <is>
          <t>2026-06</t>
        </is>
      </c>
      <c r="B7" s="7" t="inlineStr">
        <is>
          <t>BU-B</t>
        </is>
      </c>
      <c r="C7" s="7" t="inlineStr">
        <is>
          <t>销售</t>
        </is>
      </c>
      <c r="D7" s="7" t="inlineStr">
        <is>
          <t>P3</t>
        </is>
      </c>
      <c r="E7" s="7" t="inlineStr">
        <is>
          <t>正式</t>
        </is>
      </c>
      <c r="F7" s="7" t="inlineStr">
        <is>
          <t>新人(&lt;=6月)</t>
        </is>
      </c>
      <c r="G7" s="9" t="n">
        <v>30</v>
      </c>
      <c r="H7" s="9" t="n">
        <v>31</v>
      </c>
      <c r="I7" s="9" t="n">
        <v>6</v>
      </c>
      <c r="J7" s="9" t="n">
        <v>1</v>
      </c>
      <c r="K7" s="9" t="n">
        <v>3</v>
      </c>
      <c r="L7" s="9" t="n">
        <v>24</v>
      </c>
      <c r="M7" s="9" t="n">
        <v>3</v>
      </c>
      <c r="N7" s="9" t="n">
        <v>3900</v>
      </c>
      <c r="O7" s="9" t="n">
        <v>4800</v>
      </c>
      <c r="P7" s="9" t="n">
        <v>520</v>
      </c>
      <c r="Q7" s="9" t="n">
        <v>1350000</v>
      </c>
      <c r="R7" s="9" t="n">
        <v>120000</v>
      </c>
      <c r="S7" s="9" t="n">
        <v>320000</v>
      </c>
      <c r="T7" s="9" t="n">
        <v>110000</v>
      </c>
      <c r="U7" s="9" t="n">
        <v>50000</v>
      </c>
      <c r="V7" s="9" t="n">
        <v>60000</v>
      </c>
      <c r="W7" s="9" t="n">
        <v>120000</v>
      </c>
      <c r="X7" s="9" t="n">
        <v>0</v>
      </c>
      <c r="Y7" s="10">
        <f>SUM(Q7:X7)</f>
        <v/>
      </c>
      <c r="Z7" s="11">
        <f>IFERROR(N7/O7,"")</f>
        <v/>
      </c>
      <c r="AA7" s="7" t="inlineStr">
        <is>
          <t>示例</t>
        </is>
      </c>
    </row>
    <row r="8">
      <c r="A8" s="7" t="inlineStr">
        <is>
          <t>2026-07</t>
        </is>
      </c>
      <c r="B8" s="7" t="inlineStr">
        <is>
          <t>BU-A</t>
        </is>
      </c>
      <c r="C8" s="7" t="inlineStr">
        <is>
          <t>销售</t>
        </is>
      </c>
      <c r="D8" s="7" t="inlineStr">
        <is>
          <t>P3</t>
        </is>
      </c>
      <c r="E8" s="7" t="inlineStr">
        <is>
          <t>正式</t>
        </is>
      </c>
      <c r="F8" s="7" t="inlineStr">
        <is>
          <t>成熟(&gt;6月)</t>
        </is>
      </c>
      <c r="G8" s="9" t="n">
        <v>43</v>
      </c>
      <c r="H8" s="9" t="n">
        <v>44</v>
      </c>
      <c r="I8" s="9" t="n">
        <v>2</v>
      </c>
      <c r="J8" s="9" t="n">
        <v>1</v>
      </c>
      <c r="K8" s="9" t="n">
        <v>4</v>
      </c>
      <c r="L8" s="9" t="n">
        <v>35</v>
      </c>
      <c r="M8" s="9" t="n">
        <v>4</v>
      </c>
      <c r="N8" s="9" t="n">
        <v>6400</v>
      </c>
      <c r="O8" s="9" t="n">
        <v>7000</v>
      </c>
      <c r="P8" s="9" t="n">
        <v>330</v>
      </c>
      <c r="Q8" s="9" t="n">
        <v>2150000</v>
      </c>
      <c r="R8" s="9" t="n">
        <v>320000</v>
      </c>
      <c r="S8" s="9" t="n">
        <v>520000</v>
      </c>
      <c r="T8" s="9" t="n">
        <v>160000</v>
      </c>
      <c r="U8" s="9" t="n">
        <v>30000</v>
      </c>
      <c r="V8" s="9" t="n">
        <v>20000</v>
      </c>
      <c r="W8" s="9" t="n">
        <v>180000</v>
      </c>
      <c r="X8" s="9" t="n">
        <v>0</v>
      </c>
      <c r="Y8" s="10">
        <f>SUM(Q8:X8)</f>
        <v/>
      </c>
      <c r="Z8" s="11">
        <f>IFERROR(N8/O8,"")</f>
        <v/>
      </c>
      <c r="AA8" s="7" t="inlineStr">
        <is>
          <t>示例</t>
        </is>
      </c>
    </row>
    <row r="9">
      <c r="A9" s="7" t="inlineStr">
        <is>
          <t>2026-07</t>
        </is>
      </c>
      <c r="B9" s="7" t="inlineStr">
        <is>
          <t>BU-A</t>
        </is>
      </c>
      <c r="C9" s="7" t="inlineStr">
        <is>
          <t>交付</t>
        </is>
      </c>
      <c r="D9" s="7" t="inlineStr">
        <is>
          <t>P2-P3</t>
        </is>
      </c>
      <c r="E9" s="7" t="inlineStr">
        <is>
          <t>正式</t>
        </is>
      </c>
      <c r="F9" s="7" t="inlineStr">
        <is>
          <t>成熟(&gt;6月)</t>
        </is>
      </c>
      <c r="G9" s="9" t="n">
        <v>29</v>
      </c>
      <c r="H9" s="9" t="n">
        <v>29</v>
      </c>
      <c r="I9" s="9" t="n">
        <v>1</v>
      </c>
      <c r="J9" s="9" t="n">
        <v>1</v>
      </c>
      <c r="K9" s="9" t="n">
        <v>3</v>
      </c>
      <c r="L9" s="9" t="n">
        <v>25</v>
      </c>
      <c r="M9" s="9" t="n">
        <v>2</v>
      </c>
      <c r="N9" s="9" t="n">
        <v>4120</v>
      </c>
      <c r="O9" s="9" t="n">
        <v>4650</v>
      </c>
      <c r="P9" s="9" t="n">
        <v>300</v>
      </c>
      <c r="Q9" s="9" t="n">
        <v>1160000</v>
      </c>
      <c r="R9" s="9" t="n">
        <v>110000</v>
      </c>
      <c r="S9" s="9" t="n">
        <v>280000</v>
      </c>
      <c r="T9" s="9" t="n">
        <v>92000</v>
      </c>
      <c r="U9" s="9" t="n">
        <v>12000</v>
      </c>
      <c r="V9" s="9" t="n">
        <v>30000</v>
      </c>
      <c r="W9" s="9" t="n">
        <v>90000</v>
      </c>
      <c r="X9" s="9" t="n">
        <v>0</v>
      </c>
      <c r="Y9" s="10">
        <f>SUM(Q9:X9)</f>
        <v/>
      </c>
      <c r="Z9" s="11">
        <f>IFERROR(N9/O9,"")</f>
        <v/>
      </c>
      <c r="AA9" s="7" t="inlineStr">
        <is>
          <t>示例</t>
        </is>
      </c>
    </row>
    <row r="10">
      <c r="A10" s="7" t="inlineStr">
        <is>
          <t>2026-07</t>
        </is>
      </c>
      <c r="B10" s="7" t="inlineStr">
        <is>
          <t>BU-B</t>
        </is>
      </c>
      <c r="C10" s="7" t="inlineStr">
        <is>
          <t>销售</t>
        </is>
      </c>
      <c r="D10" s="7" t="inlineStr">
        <is>
          <t>P3</t>
        </is>
      </c>
      <c r="E10" s="7" t="inlineStr">
        <is>
          <t>正式</t>
        </is>
      </c>
      <c r="F10" s="7" t="inlineStr">
        <is>
          <t>新人(&lt;=6月)</t>
        </is>
      </c>
      <c r="G10" s="9" t="n">
        <v>35</v>
      </c>
      <c r="H10" s="9" t="n">
        <v>36</v>
      </c>
      <c r="I10" s="9" t="n">
        <v>6</v>
      </c>
      <c r="J10" s="9" t="n">
        <v>1</v>
      </c>
      <c r="K10" s="9" t="n">
        <v>4</v>
      </c>
      <c r="L10" s="9" t="n">
        <v>28</v>
      </c>
      <c r="M10" s="9" t="n">
        <v>4</v>
      </c>
      <c r="N10" s="9" t="n">
        <v>4200</v>
      </c>
      <c r="O10" s="9" t="n">
        <v>5600</v>
      </c>
      <c r="P10" s="9" t="n">
        <v>700</v>
      </c>
      <c r="Q10" s="9" t="n">
        <v>1600000</v>
      </c>
      <c r="R10" s="9" t="n">
        <v>150000</v>
      </c>
      <c r="S10" s="9" t="n">
        <v>380000</v>
      </c>
      <c r="T10" s="9" t="n">
        <v>130000</v>
      </c>
      <c r="U10" s="9" t="n">
        <v>55000</v>
      </c>
      <c r="V10" s="9" t="n">
        <v>65000</v>
      </c>
      <c r="W10" s="9" t="n">
        <v>160000</v>
      </c>
      <c r="X10" s="9" t="n">
        <v>0</v>
      </c>
      <c r="Y10" s="10">
        <f>SUM(Q10:X10)</f>
        <v/>
      </c>
      <c r="Z10" s="11">
        <f>IFERROR(N10/O10,"")</f>
        <v/>
      </c>
      <c r="AA10" s="7" t="inlineStr">
        <is>
          <t>示例</t>
        </is>
      </c>
    </row>
  </sheetData>
  <mergeCells count="2">
    <mergeCell ref="A1:AA1"/>
    <mergeCell ref="A2:AA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23" customWidth="1" min="4" max="4"/>
    <col width="18" customWidth="1" min="5" max="5"/>
    <col width="23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3" customWidth="1" min="19" max="19"/>
  </cols>
  <sheetData>
    <row r="1" ht="28" customHeight="1">
      <c r="A1" s="1" t="inlineStr">
        <is>
          <t>04｜业务产出（月度）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36" customHeight="1">
      <c r="A2" s="3" t="inlineStr">
        <is>
          <t>推荐粒度：统计月 × 组织 × 业务线/项目。保留货币型、数量型和项目服务型字段；系统仅对已配置的主产出模型计算适用指标。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4" t="inlineStr">
        <is>
          <t>period</t>
        </is>
      </c>
      <c r="B4" s="4" t="inlineStr">
        <is>
          <t>org_code</t>
        </is>
      </c>
      <c r="C4" s="4" t="inlineStr">
        <is>
          <t>business_line</t>
        </is>
      </c>
      <c r="D4" s="4" t="inlineStr">
        <is>
          <t>product_or_project</t>
        </is>
      </c>
      <c r="E4" s="4" t="inlineStr">
        <is>
          <t>output_model</t>
        </is>
      </c>
      <c r="F4" s="4" t="inlineStr">
        <is>
          <t>primary_output_name</t>
        </is>
      </c>
      <c r="G4" s="4" t="inlineStr">
        <is>
          <t>primary_output_value</t>
        </is>
      </c>
      <c r="H4" s="4" t="inlineStr">
        <is>
          <t>primary_output_unit</t>
        </is>
      </c>
      <c r="I4" s="4" t="inlineStr">
        <is>
          <t>recognized_revenue</t>
        </is>
      </c>
      <c r="J4" s="4" t="inlineStr">
        <is>
          <t>gross_profit</t>
        </is>
      </c>
      <c r="K4" s="4" t="inlineStr">
        <is>
          <t>contribution_profit</t>
        </is>
      </c>
      <c r="L4" s="4" t="inlineStr">
        <is>
          <t>operating_profit</t>
        </is>
      </c>
      <c r="M4" s="4" t="inlineStr">
        <is>
          <t>cash_collected</t>
        </is>
      </c>
      <c r="N4" s="4" t="inlineStr">
        <is>
          <t>total_output_qty</t>
        </is>
      </c>
      <c r="O4" s="4" t="inlineStr">
        <is>
          <t>qualified_output_qty</t>
        </is>
      </c>
      <c r="P4" s="4" t="inlineStr">
        <is>
          <t>quality_score</t>
        </is>
      </c>
      <c r="Q4" s="4" t="inlineStr">
        <is>
          <t>delivery_on_time_rate</t>
        </is>
      </c>
      <c r="R4" s="4" t="inlineStr">
        <is>
          <t>customer_complaint_rate</t>
        </is>
      </c>
      <c r="S4" s="4" t="inlineStr">
        <is>
          <t>notes</t>
        </is>
      </c>
    </row>
    <row r="5">
      <c r="A5" s="7" t="inlineStr">
        <is>
          <t>2026-06</t>
        </is>
      </c>
      <c r="B5" s="7" t="inlineStr">
        <is>
          <t>BU-A</t>
        </is>
      </c>
      <c r="C5" s="7" t="inlineStr">
        <is>
          <t>业务A</t>
        </is>
      </c>
      <c r="D5" s="7" t="inlineStr">
        <is>
          <t>项目组合</t>
        </is>
      </c>
      <c r="E5" s="7" t="inlineStr">
        <is>
          <t>货币型</t>
        </is>
      </c>
      <c r="F5" s="7" t="inlineStr">
        <is>
          <t>确认收入</t>
        </is>
      </c>
      <c r="G5" s="9" t="n">
        <v>8600000</v>
      </c>
      <c r="H5" s="7" t="inlineStr">
        <is>
          <t>CNY</t>
        </is>
      </c>
      <c r="I5" s="9" t="n">
        <v>8600000</v>
      </c>
      <c r="J5" s="9" t="n">
        <v>2800000</v>
      </c>
      <c r="K5" s="9" t="n">
        <v>1700000</v>
      </c>
      <c r="L5" s="9" t="n">
        <v>1200000</v>
      </c>
      <c r="M5" s="9" t="n">
        <v>7200000</v>
      </c>
      <c r="N5" s="9" t="n">
        <v>0</v>
      </c>
      <c r="O5" s="9" t="n">
        <v>0</v>
      </c>
      <c r="P5" s="9" t="n">
        <v>92</v>
      </c>
      <c r="Q5" s="12" t="n">
        <v>0.93</v>
      </c>
      <c r="R5" s="12" t="n">
        <v>0.012</v>
      </c>
      <c r="S5" s="7" t="inlineStr">
        <is>
          <t>示例</t>
        </is>
      </c>
    </row>
    <row r="6">
      <c r="A6" s="7" t="inlineStr">
        <is>
          <t>2026-06</t>
        </is>
      </c>
      <c r="B6" s="7" t="inlineStr">
        <is>
          <t>BU-B</t>
        </is>
      </c>
      <c r="C6" s="7" t="inlineStr">
        <is>
          <t>业务B</t>
        </is>
      </c>
      <c r="D6" s="7" t="inlineStr">
        <is>
          <t>项目组合</t>
        </is>
      </c>
      <c r="E6" s="7" t="inlineStr">
        <is>
          <t>货币型</t>
        </is>
      </c>
      <c r="F6" s="7" t="inlineStr">
        <is>
          <t>确认收入</t>
        </is>
      </c>
      <c r="G6" s="9" t="n">
        <v>5100000</v>
      </c>
      <c r="H6" s="7" t="inlineStr">
        <is>
          <t>CNY</t>
        </is>
      </c>
      <c r="I6" s="9" t="n">
        <v>5100000</v>
      </c>
      <c r="J6" s="9" t="n">
        <v>1350000</v>
      </c>
      <c r="K6" s="9" t="n">
        <v>700000</v>
      </c>
      <c r="L6" s="9" t="n">
        <v>380000</v>
      </c>
      <c r="M6" s="9" t="n">
        <v>4000000</v>
      </c>
      <c r="N6" s="9" t="n">
        <v>0</v>
      </c>
      <c r="O6" s="9" t="n">
        <v>0</v>
      </c>
      <c r="P6" s="9" t="n">
        <v>85</v>
      </c>
      <c r="Q6" s="12" t="n">
        <v>0.84</v>
      </c>
      <c r="R6" s="12" t="n">
        <v>0.028</v>
      </c>
      <c r="S6" s="7" t="inlineStr">
        <is>
          <t>示例</t>
        </is>
      </c>
    </row>
    <row r="7">
      <c r="A7" s="7" t="inlineStr">
        <is>
          <t>2026-07</t>
        </is>
      </c>
      <c r="B7" s="7" t="inlineStr">
        <is>
          <t>BU-A</t>
        </is>
      </c>
      <c r="C7" s="7" t="inlineStr">
        <is>
          <t>业务A</t>
        </is>
      </c>
      <c r="D7" s="7" t="inlineStr">
        <is>
          <t>项目组合</t>
        </is>
      </c>
      <c r="E7" s="7" t="inlineStr">
        <is>
          <t>货币型</t>
        </is>
      </c>
      <c r="F7" s="7" t="inlineStr">
        <is>
          <t>确认收入</t>
        </is>
      </c>
      <c r="G7" s="9" t="n">
        <v>9200000</v>
      </c>
      <c r="H7" s="7" t="inlineStr">
        <is>
          <t>CNY</t>
        </is>
      </c>
      <c r="I7" s="9" t="n">
        <v>9200000</v>
      </c>
      <c r="J7" s="9" t="n">
        <v>3200000</v>
      </c>
      <c r="K7" s="9" t="n">
        <v>2100000</v>
      </c>
      <c r="L7" s="9" t="n">
        <v>1560000</v>
      </c>
      <c r="M7" s="9" t="n">
        <v>8100000</v>
      </c>
      <c r="N7" s="9" t="n">
        <v>0</v>
      </c>
      <c r="O7" s="9" t="n">
        <v>0</v>
      </c>
      <c r="P7" s="9" t="n">
        <v>94</v>
      </c>
      <c r="Q7" s="12" t="n">
        <v>0.95</v>
      </c>
      <c r="R7" s="12" t="n">
        <v>0.008999999999999999</v>
      </c>
      <c r="S7" s="7" t="inlineStr">
        <is>
          <t>示例</t>
        </is>
      </c>
    </row>
    <row r="8">
      <c r="A8" s="7" t="inlineStr">
        <is>
          <t>2026-07</t>
        </is>
      </c>
      <c r="B8" s="7" t="inlineStr">
        <is>
          <t>BU-B</t>
        </is>
      </c>
      <c r="C8" s="7" t="inlineStr">
        <is>
          <t>业务B</t>
        </is>
      </c>
      <c r="D8" s="7" t="inlineStr">
        <is>
          <t>项目组合</t>
        </is>
      </c>
      <c r="E8" s="7" t="inlineStr">
        <is>
          <t>货币型</t>
        </is>
      </c>
      <c r="F8" s="7" t="inlineStr">
        <is>
          <t>确认收入</t>
        </is>
      </c>
      <c r="G8" s="9" t="n">
        <v>5300000</v>
      </c>
      <c r="H8" s="7" t="inlineStr">
        <is>
          <t>CNY</t>
        </is>
      </c>
      <c r="I8" s="9" t="n">
        <v>5300000</v>
      </c>
      <c r="J8" s="9" t="n">
        <v>1280000</v>
      </c>
      <c r="K8" s="9" t="n">
        <v>620000</v>
      </c>
      <c r="L8" s="9" t="n">
        <v>260000</v>
      </c>
      <c r="M8" s="9" t="n">
        <v>3900000</v>
      </c>
      <c r="N8" s="9" t="n">
        <v>0</v>
      </c>
      <c r="O8" s="9" t="n">
        <v>0</v>
      </c>
      <c r="P8" s="9" t="n">
        <v>80</v>
      </c>
      <c r="Q8" s="12" t="n">
        <v>0.78</v>
      </c>
      <c r="R8" s="12" t="n">
        <v>0.035</v>
      </c>
      <c r="S8" s="7" t="inlineStr">
        <is>
          <t>示例</t>
        </is>
      </c>
    </row>
  </sheetData>
  <mergeCells count="2">
    <mergeCell ref="A2:S2"/>
    <mergeCell ref="A1:S1"/>
  </mergeCells>
  <dataValidations count="1">
    <dataValidation sqref="E5:E5000" showDropDown="0" showInputMessage="0" showErrorMessage="0" allowBlank="0" type="list">
      <formula1>"货币型,数量型,项目服务型"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8" customWidth="1" min="4" max="4"/>
    <col width="24" customWidth="1" min="5" max="5"/>
    <col width="16" customWidth="1" min="6" max="6"/>
    <col width="16" customWidth="1" min="7" max="7"/>
    <col width="12" customWidth="1" min="8" max="8"/>
    <col width="16" customWidth="1" min="9" max="9"/>
    <col width="18" customWidth="1" min="10" max="10"/>
    <col width="12" customWidth="1" min="11" max="11"/>
    <col width="20" customWidth="1" min="12" max="12"/>
    <col width="22" customWidth="1" min="13" max="13"/>
  </cols>
  <sheetData>
    <row r="1" ht="28" customHeight="1">
      <c r="A1" s="1" t="inlineStr">
        <is>
          <t>05｜过程与质量（月度）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6" customHeight="1">
      <c r="A2" s="3" t="inlineStr">
        <is>
          <t>采用“长表”结构，支持不同行业自定义指标。direction字段说明高值更好还是低值更好，便于统一预警与可视化。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period</t>
        </is>
      </c>
      <c r="B4" s="4" t="inlineStr">
        <is>
          <t>org_code</t>
        </is>
      </c>
      <c r="C4" s="4" t="inlineStr">
        <is>
          <t>job_family</t>
        </is>
      </c>
      <c r="D4" s="4" t="inlineStr">
        <is>
          <t>metric_code</t>
        </is>
      </c>
      <c r="E4" s="4" t="inlineStr">
        <is>
          <t>metric_name</t>
        </is>
      </c>
      <c r="F4" s="4" t="inlineStr">
        <is>
          <t>metric_category</t>
        </is>
      </c>
      <c r="G4" s="4" t="inlineStr">
        <is>
          <t>metric_value</t>
        </is>
      </c>
      <c r="H4" s="4" t="inlineStr">
        <is>
          <t>metric_unit</t>
        </is>
      </c>
      <c r="I4" s="4" t="inlineStr">
        <is>
          <t>target_value</t>
        </is>
      </c>
      <c r="J4" s="4" t="inlineStr">
        <is>
          <t>benchmark_value</t>
        </is>
      </c>
      <c r="K4" s="4" t="inlineStr">
        <is>
          <t>direction</t>
        </is>
      </c>
      <c r="L4" s="4" t="inlineStr">
        <is>
          <t>data_source</t>
        </is>
      </c>
      <c r="M4" s="4" t="inlineStr">
        <is>
          <t>notes</t>
        </is>
      </c>
    </row>
    <row r="5">
      <c r="A5" s="7" t="inlineStr">
        <is>
          <t>2026-07</t>
        </is>
      </c>
      <c r="B5" s="7" t="inlineStr">
        <is>
          <t>BU-A</t>
        </is>
      </c>
      <c r="C5" s="7" t="inlineStr">
        <is>
          <t>销售</t>
        </is>
      </c>
      <c r="D5" s="7" t="inlineStr">
        <is>
          <t>NEW_HIRE_RAMP_DAYS</t>
        </is>
      </c>
      <c r="E5" s="7" t="inlineStr">
        <is>
          <t>新员工达产天数</t>
        </is>
      </c>
      <c r="F5" s="7" t="inlineStr">
        <is>
          <t>人员过程</t>
        </is>
      </c>
      <c r="G5" s="7" t="n">
        <v>75</v>
      </c>
      <c r="H5" s="7" t="inlineStr">
        <is>
          <t>天</t>
        </is>
      </c>
      <c r="I5" s="7" t="n">
        <v>60</v>
      </c>
      <c r="J5" s="7" t="n">
        <v>65</v>
      </c>
      <c r="K5" s="7" t="inlineStr">
        <is>
          <t>低优</t>
        </is>
      </c>
      <c r="L5" s="7" t="inlineStr">
        <is>
          <t>HRIS/绩效</t>
        </is>
      </c>
      <c r="M5" s="7" t="inlineStr">
        <is>
          <t>示例</t>
        </is>
      </c>
    </row>
    <row r="6">
      <c r="A6" s="7" t="inlineStr">
        <is>
          <t>2026-07</t>
        </is>
      </c>
      <c r="B6" s="7" t="inlineStr">
        <is>
          <t>BU-A</t>
        </is>
      </c>
      <c r="C6" s="7" t="inlineStr">
        <is>
          <t>交付</t>
        </is>
      </c>
      <c r="D6" s="7" t="inlineStr">
        <is>
          <t>PROJECT_DELAY_RATE</t>
        </is>
      </c>
      <c r="E6" s="7" t="inlineStr">
        <is>
          <t>项目延期率</t>
        </is>
      </c>
      <c r="F6" s="7" t="inlineStr">
        <is>
          <t>交付质量</t>
        </is>
      </c>
      <c r="G6" s="12" t="n">
        <v>0.05</v>
      </c>
      <c r="H6" s="7" t="inlineStr">
        <is>
          <t>%</t>
        </is>
      </c>
      <c r="I6" s="12" t="n">
        <v>0.03</v>
      </c>
      <c r="J6" s="12" t="n">
        <v>0.04</v>
      </c>
      <c r="K6" s="7" t="inlineStr">
        <is>
          <t>低优</t>
        </is>
      </c>
      <c r="L6" s="7" t="inlineStr">
        <is>
          <t>项目管理系统</t>
        </is>
      </c>
      <c r="M6" s="7" t="inlineStr">
        <is>
          <t>示例</t>
        </is>
      </c>
    </row>
    <row r="7">
      <c r="A7" s="7" t="inlineStr">
        <is>
          <t>2026-07</t>
        </is>
      </c>
      <c r="B7" s="7" t="inlineStr">
        <is>
          <t>BU-B</t>
        </is>
      </c>
      <c r="C7" s="7" t="inlineStr">
        <is>
          <t>销售</t>
        </is>
      </c>
      <c r="D7" s="7" t="inlineStr">
        <is>
          <t>VOLUNTARY_TURNOVER</t>
        </is>
      </c>
      <c r="E7" s="7" t="inlineStr">
        <is>
          <t>主动离职率</t>
        </is>
      </c>
      <c r="F7" s="7" t="inlineStr">
        <is>
          <t>组织健康</t>
        </is>
      </c>
      <c r="G7" s="12" t="n">
        <v>0.07000000000000001</v>
      </c>
      <c r="H7" s="7" t="inlineStr">
        <is>
          <t>%</t>
        </is>
      </c>
      <c r="I7" s="12" t="n">
        <v>0.04</v>
      </c>
      <c r="J7" s="12" t="n">
        <v>0.05</v>
      </c>
      <c r="K7" s="7" t="inlineStr">
        <is>
          <t>低优</t>
        </is>
      </c>
      <c r="L7" s="7" t="inlineStr">
        <is>
          <t>HRIS</t>
        </is>
      </c>
      <c r="M7" s="7" t="inlineStr">
        <is>
          <t>示例</t>
        </is>
      </c>
    </row>
    <row r="8">
      <c r="A8" s="7" t="inlineStr">
        <is>
          <t>2026-07</t>
        </is>
      </c>
      <c r="B8" s="7" t="inlineStr">
        <is>
          <t>BU-B</t>
        </is>
      </c>
      <c r="C8" s="7" t="inlineStr">
        <is>
          <t>销售</t>
        </is>
      </c>
      <c r="D8" s="7" t="inlineStr">
        <is>
          <t>OVERTIME_HOURS_PER_FTE</t>
        </is>
      </c>
      <c r="E8" s="7" t="inlineStr">
        <is>
          <t>人均加班时长</t>
        </is>
      </c>
      <c r="F8" s="7" t="inlineStr">
        <is>
          <t>组织健康</t>
        </is>
      </c>
      <c r="G8" s="7" t="n">
        <v>20</v>
      </c>
      <c r="H8" s="7" t="inlineStr">
        <is>
          <t>小时</t>
        </is>
      </c>
      <c r="I8" s="7" t="n">
        <v>12</v>
      </c>
      <c r="J8" s="7" t="n">
        <v>15</v>
      </c>
      <c r="K8" s="7" t="inlineStr">
        <is>
          <t>低优</t>
        </is>
      </c>
      <c r="L8" s="7" t="inlineStr">
        <is>
          <t>考勤系统</t>
        </is>
      </c>
      <c r="M8" s="7" t="inlineStr">
        <is>
          <t>示例</t>
        </is>
      </c>
    </row>
    <row r="9">
      <c r="A9" s="7" t="inlineStr">
        <is>
          <t>2026-07</t>
        </is>
      </c>
      <c r="B9" s="7" t="inlineStr">
        <is>
          <t>BU-B</t>
        </is>
      </c>
      <c r="C9" s="7" t="inlineStr">
        <is>
          <t>销售</t>
        </is>
      </c>
      <c r="D9" s="7" t="inlineStr">
        <is>
          <t>CUSTOMER_RETENTION</t>
        </is>
      </c>
      <c r="E9" s="7" t="inlineStr">
        <is>
          <t>客户留存率</t>
        </is>
      </c>
      <c r="F9" s="7" t="inlineStr">
        <is>
          <t>经营质量</t>
        </is>
      </c>
      <c r="G9" s="12" t="n">
        <v>0.78</v>
      </c>
      <c r="H9" s="7" t="inlineStr">
        <is>
          <t>%</t>
        </is>
      </c>
      <c r="I9" s="12" t="n">
        <v>0.85</v>
      </c>
      <c r="J9" s="12" t="n">
        <v>0.82</v>
      </c>
      <c r="K9" s="7" t="inlineStr">
        <is>
          <t>高优</t>
        </is>
      </c>
      <c r="L9" s="7" t="inlineStr">
        <is>
          <t>CRM</t>
        </is>
      </c>
      <c r="M9" s="7" t="inlineStr">
        <is>
          <t>示例</t>
        </is>
      </c>
    </row>
  </sheetData>
  <mergeCells count="2">
    <mergeCell ref="A2:M2"/>
    <mergeCell ref="A1:M1"/>
  </mergeCells>
  <dataValidations count="1">
    <dataValidation sqref="K5:K5000" showDropDown="0" showInputMessage="0" showErrorMessage="0" allowBlank="0" type="list">
      <formula1>"高优,低优"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18" customWidth="1" min="12" max="12"/>
    <col width="24" customWidth="1" min="13" max="13"/>
  </cols>
  <sheetData>
    <row r="1" ht="28" customHeight="1">
      <c r="A1" s="1" t="inlineStr">
        <is>
          <t>06｜目标、标杆与预警阈值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6" customHeight="1">
      <c r="A2" s="3" t="inlineStr">
        <is>
          <t>同一个指标必须结合目标/预算、历史同期、内部标杆或外部标杆解释。阈值方向由higher_is_better决定。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period</t>
        </is>
      </c>
      <c r="B4" s="4" t="inlineStr">
        <is>
          <t>scope_type</t>
        </is>
      </c>
      <c r="C4" s="4" t="inlineStr">
        <is>
          <t>scope_code</t>
        </is>
      </c>
      <c r="D4" s="4" t="inlineStr">
        <is>
          <t>metric_code</t>
        </is>
      </c>
      <c r="E4" s="4" t="inlineStr">
        <is>
          <t>metric_name</t>
        </is>
      </c>
      <c r="F4" s="4" t="inlineStr">
        <is>
          <t>target_value</t>
        </is>
      </c>
      <c r="G4" s="4" t="inlineStr">
        <is>
          <t>budget_value</t>
        </is>
      </c>
      <c r="H4" s="4" t="inlineStr">
        <is>
          <t>internal_benchmark</t>
        </is>
      </c>
      <c r="I4" s="4" t="inlineStr">
        <is>
          <t>external_benchmark</t>
        </is>
      </c>
      <c r="J4" s="4" t="inlineStr">
        <is>
          <t>yellow_threshold</t>
        </is>
      </c>
      <c r="K4" s="4" t="inlineStr">
        <is>
          <t>red_threshold</t>
        </is>
      </c>
      <c r="L4" s="4" t="inlineStr">
        <is>
          <t>higher_is_better</t>
        </is>
      </c>
      <c r="M4" s="4" t="inlineStr">
        <is>
          <t>notes</t>
        </is>
      </c>
    </row>
    <row r="5">
      <c r="A5" s="7" t="inlineStr">
        <is>
          <t>2026-07</t>
        </is>
      </c>
      <c r="B5" s="7" t="inlineStr">
        <is>
          <t>组织</t>
        </is>
      </c>
      <c r="C5" s="7" t="inlineStr">
        <is>
          <t>BU-A</t>
        </is>
      </c>
      <c r="D5" s="7" t="inlineStr">
        <is>
          <t>GP_PER_FTE</t>
        </is>
      </c>
      <c r="E5" s="7" t="inlineStr">
        <is>
          <t>人均毛利</t>
        </is>
      </c>
      <c r="F5" s="7" t="n">
        <v>45000</v>
      </c>
      <c r="G5" s="7" t="n">
        <v>44000</v>
      </c>
      <c r="H5" s="7" t="n">
        <v>43000</v>
      </c>
      <c r="I5" s="7" t="inlineStr"/>
      <c r="J5" s="7" t="n">
        <v>40000</v>
      </c>
      <c r="K5" s="7" t="n">
        <v>36000</v>
      </c>
      <c r="L5" s="7" t="inlineStr">
        <is>
          <t>是</t>
        </is>
      </c>
      <c r="M5" s="7" t="inlineStr">
        <is>
          <t>示例</t>
        </is>
      </c>
    </row>
    <row r="6">
      <c r="A6" s="7" t="inlineStr">
        <is>
          <t>2026-07</t>
        </is>
      </c>
      <c r="B6" s="7" t="inlineStr">
        <is>
          <t>组织</t>
        </is>
      </c>
      <c r="C6" s="7" t="inlineStr">
        <is>
          <t>BU-B</t>
        </is>
      </c>
      <c r="D6" s="7" t="inlineStr">
        <is>
          <t>GP_PER_FTE</t>
        </is>
      </c>
      <c r="E6" s="7" t="inlineStr">
        <is>
          <t>人均毛利</t>
        </is>
      </c>
      <c r="F6" s="7" t="n">
        <v>42000</v>
      </c>
      <c r="G6" s="7" t="n">
        <v>40000</v>
      </c>
      <c r="H6" s="7" t="n">
        <v>43000</v>
      </c>
      <c r="I6" s="7" t="inlineStr"/>
      <c r="J6" s="7" t="n">
        <v>36000</v>
      </c>
      <c r="K6" s="7" t="n">
        <v>32000</v>
      </c>
      <c r="L6" s="7" t="inlineStr">
        <is>
          <t>是</t>
        </is>
      </c>
      <c r="M6" s="7" t="inlineStr">
        <is>
          <t>示例</t>
        </is>
      </c>
    </row>
    <row r="7">
      <c r="A7" s="7" t="inlineStr">
        <is>
          <t>2026-07</t>
        </is>
      </c>
      <c r="B7" s="7" t="inlineStr">
        <is>
          <t>组织</t>
        </is>
      </c>
      <c r="C7" s="7" t="inlineStr">
        <is>
          <t>BU-B</t>
        </is>
      </c>
      <c r="D7" s="7" t="inlineStr">
        <is>
          <t>OVERTIME_HOURS_PER_FTE</t>
        </is>
      </c>
      <c r="E7" s="7" t="inlineStr">
        <is>
          <t>人均加班时长</t>
        </is>
      </c>
      <c r="F7" s="7" t="n">
        <v>12</v>
      </c>
      <c r="G7" s="7" t="n">
        <v>12</v>
      </c>
      <c r="H7" s="7" t="n">
        <v>15</v>
      </c>
      <c r="I7" s="7" t="inlineStr"/>
      <c r="J7" s="7" t="n">
        <v>18</v>
      </c>
      <c r="K7" s="7" t="n">
        <v>22</v>
      </c>
      <c r="L7" s="7" t="inlineStr">
        <is>
          <t>否</t>
        </is>
      </c>
      <c r="M7" s="7" t="inlineStr">
        <is>
          <t>示例</t>
        </is>
      </c>
    </row>
  </sheetData>
  <mergeCells count="2">
    <mergeCell ref="A2:M2"/>
    <mergeCell ref="A1:M1"/>
  </mergeCells>
  <dataValidations count="1">
    <dataValidation sqref="L5:L5000" showDropDown="0" showInputMessage="0" showErrorMessage="0" allowBlank="0" type="list">
      <formula1>"是,否"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34" customWidth="1" min="17" max="17"/>
  </cols>
  <sheetData>
    <row r="1" ht="28" customHeight="1">
      <c r="A1" s="1" t="inlineStr">
        <is>
          <t>07｜行动闭环台账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6" customHeight="1">
      <c r="A2" s="3" t="inlineStr">
        <is>
          <t>看板的终点不是发现问题，而是形成可验证的管理动作。每一条行动都应关联指标、原因假设、责任人、时点和复盘结果。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issue_id</t>
        </is>
      </c>
      <c r="B4" s="4" t="inlineStr">
        <is>
          <t>identified_period</t>
        </is>
      </c>
      <c r="C4" s="4" t="inlineStr">
        <is>
          <t>scope_type</t>
        </is>
      </c>
      <c r="D4" s="4" t="inlineStr">
        <is>
          <t>scope_code</t>
        </is>
      </c>
      <c r="E4" s="4" t="inlineStr">
        <is>
          <t>metric_code</t>
        </is>
      </c>
      <c r="F4" s="4" t="inlineStr">
        <is>
          <t>signal</t>
        </is>
      </c>
      <c r="G4" s="4" t="inlineStr">
        <is>
          <t>root_cause_hypothesis</t>
        </is>
      </c>
      <c r="H4" s="4" t="inlineStr">
        <is>
          <t>action_domain</t>
        </is>
      </c>
      <c r="I4" s="4" t="inlineStr">
        <is>
          <t>action_plan</t>
        </is>
      </c>
      <c r="J4" s="4" t="inlineStr">
        <is>
          <t>owner</t>
        </is>
      </c>
      <c r="K4" s="4" t="inlineStr">
        <is>
          <t>due_date</t>
        </is>
      </c>
      <c r="L4" s="4" t="inlineStr">
        <is>
          <t>expected_impact_metric</t>
        </is>
      </c>
      <c r="M4" s="4" t="inlineStr">
        <is>
          <t>expected_impact_value</t>
        </is>
      </c>
      <c r="N4" s="4" t="inlineStr">
        <is>
          <t>status</t>
        </is>
      </c>
      <c r="O4" s="4" t="inlineStr">
        <is>
          <t>review_date</t>
        </is>
      </c>
      <c r="P4" s="4" t="inlineStr">
        <is>
          <t>actual_result</t>
        </is>
      </c>
      <c r="Q4" s="4" t="inlineStr">
        <is>
          <t>notes</t>
        </is>
      </c>
    </row>
    <row r="5">
      <c r="A5" s="7" t="inlineStr">
        <is>
          <t>ISS-001</t>
        </is>
      </c>
      <c r="B5" s="7" t="inlineStr">
        <is>
          <t>2026-07</t>
        </is>
      </c>
      <c r="C5" s="7" t="inlineStr">
        <is>
          <t>组织</t>
        </is>
      </c>
      <c r="D5" s="7" t="inlineStr">
        <is>
          <t>BU-B</t>
        </is>
      </c>
      <c r="E5" s="7" t="inlineStr">
        <is>
          <t>GP_PER_FTE</t>
        </is>
      </c>
      <c r="F5" s="7" t="inlineStr">
        <is>
          <t>人均毛利低于内部标杆</t>
        </is>
      </c>
      <c r="G5" s="7" t="inlineStr">
        <is>
          <t>新人占比高、达产周期偏长，同时加班与客户投诉上升</t>
        </is>
      </c>
      <c r="H5" s="7" t="inlineStr">
        <is>
          <t>流程/能力</t>
        </is>
      </c>
      <c r="I5" s="7" t="inlineStr">
        <is>
          <t>梳理带教与商机分配；每周复盘新人转化漏斗</t>
        </is>
      </c>
      <c r="J5" s="7" t="inlineStr">
        <is>
          <t>华南业务负责人</t>
        </is>
      </c>
      <c r="K5" s="7" t="inlineStr">
        <is>
          <t>2026-09-30</t>
        </is>
      </c>
      <c r="L5" s="7" t="inlineStr">
        <is>
          <t>GP_PER_FTE</t>
        </is>
      </c>
      <c r="M5" s="7" t="n">
        <v>0.1</v>
      </c>
      <c r="N5" s="7" t="inlineStr">
        <is>
          <t>进行中</t>
        </is>
      </c>
      <c r="O5" s="7" t="inlineStr">
        <is>
          <t>2026-10-15</t>
        </is>
      </c>
      <c r="P5" s="7" t="inlineStr"/>
      <c r="Q5" s="7" t="inlineStr">
        <is>
          <t>示例：影响值可填同比改善比例或绝对值</t>
        </is>
      </c>
    </row>
  </sheetData>
  <mergeCells count="2">
    <mergeCell ref="A1:P1"/>
    <mergeCell ref="A2:P2"/>
  </mergeCells>
  <dataValidations count="2">
    <dataValidation sqref="H5:H5000" showDropDown="0" showInputMessage="0" showErrorMessage="0" allowBlank="0" type="list">
      <formula1>"组织/结构,流程,能力,激励,工具/自动化,业务策略"</formula1>
    </dataValidation>
    <dataValidation sqref="N5:N5000" showDropDown="0" showInputMessage="0" showErrorMessage="0" allowBlank="0" type="list">
      <formula1>"待启动,进行中,已完成,已暂停,已取消"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38" customWidth="1" min="4" max="4"/>
    <col width="32" customWidth="1" min="5" max="5"/>
    <col width="22" customWidth="1" min="6" max="6"/>
    <col width="16" customWidth="1" min="7" max="7"/>
    <col width="34" customWidth="1" min="8" max="8"/>
    <col width="34" customWidth="1" min="9" max="9"/>
  </cols>
  <sheetData>
    <row r="1" ht="28" customHeight="1">
      <c r="A1" s="1" t="inlineStr">
        <is>
          <t>08｜指标字典与计算逻辑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以下为通用指标库。BI系统可按数据完整度和主产出模型自动启用/隐藏指标；所有口径都应在产品中可追溯。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metric_code</t>
        </is>
      </c>
      <c r="B4" s="4" t="inlineStr">
        <is>
          <t>metric_name</t>
        </is>
      </c>
      <c r="C4" s="4" t="inlineStr">
        <is>
          <t>category</t>
        </is>
      </c>
      <c r="D4" s="4" t="inlineStr">
        <is>
          <t>formula_logic</t>
        </is>
      </c>
      <c r="E4" s="4" t="inlineStr">
        <is>
          <t>required_fields</t>
        </is>
      </c>
      <c r="F4" s="4" t="inlineStr">
        <is>
          <t>applicability</t>
        </is>
      </c>
      <c r="G4" s="4" t="inlineStr">
        <is>
          <t>direction</t>
        </is>
      </c>
      <c r="H4" s="4" t="inlineStr">
        <is>
          <t>interpretation</t>
        </is>
      </c>
      <c r="I4" s="4" t="inlineStr">
        <is>
          <t>caution</t>
        </is>
      </c>
    </row>
    <row r="5" ht="42" customHeight="1">
      <c r="A5" s="6" t="inlineStr">
        <is>
          <t>AVG_FTE</t>
        </is>
      </c>
      <c r="B5" s="6" t="inlineStr">
        <is>
          <t>平均FTE</t>
        </is>
      </c>
      <c r="C5" s="6" t="inlineStr">
        <is>
          <t>人力投入</t>
        </is>
      </c>
      <c r="D5" s="6" t="inlineStr">
        <is>
          <t>Σ平均FTE（按分析粒度聚合）</t>
        </is>
      </c>
      <c r="E5" s="6" t="inlineStr">
        <is>
          <t>average_fte</t>
        </is>
      </c>
      <c r="F5" s="6" t="inlineStr">
        <is>
          <t>全行业</t>
        </is>
      </c>
      <c r="G5" s="6" t="inlineStr">
        <is>
          <t>中性</t>
        </is>
      </c>
      <c r="H5" s="6" t="inlineStr">
        <is>
          <t>真实人力投入分母</t>
        </is>
      </c>
      <c r="I5" s="6" t="inlineStr">
        <is>
          <t>避免使用期末人数替代</t>
        </is>
      </c>
    </row>
    <row r="6" ht="42" customHeight="1">
      <c r="A6" s="6" t="inlineStr">
        <is>
          <t>LABOR_COST_TOTAL</t>
        </is>
      </c>
      <c r="B6" s="6" t="inlineStr">
        <is>
          <t>人工成本总额</t>
        </is>
      </c>
      <c r="C6" s="6" t="inlineStr">
        <is>
          <t>人力投入</t>
        </is>
      </c>
      <c r="D6" s="6" t="inlineStr">
        <is>
          <t>工资+奖金+雇主成本+福利+招聘+培训+外包+离职补偿</t>
        </is>
      </c>
      <c r="E6" s="6" t="inlineStr">
        <is>
          <t>人工成本构成字段</t>
        </is>
      </c>
      <c r="F6" s="6" t="inlineStr">
        <is>
          <t>全行业</t>
        </is>
      </c>
      <c r="G6" s="6" t="inlineStr">
        <is>
          <t>低优</t>
        </is>
      </c>
      <c r="H6" s="6" t="inlineStr">
        <is>
          <t>完整衡量人力投入</t>
        </is>
      </c>
      <c r="I6" s="6" t="inlineStr">
        <is>
          <t>成本范围须配置统一</t>
        </is>
      </c>
    </row>
    <row r="7" ht="42" customHeight="1">
      <c r="A7" s="6" t="inlineStr">
        <is>
          <t>OUTPUT_PER_FTE</t>
        </is>
      </c>
      <c r="B7" s="6" t="inlineStr">
        <is>
          <t>人均有效产出</t>
        </is>
      </c>
      <c r="C7" s="6" t="inlineStr">
        <is>
          <t>经营结果</t>
        </is>
      </c>
      <c r="D7" s="6" t="inlineStr">
        <is>
          <t>主产出值 ÷ 平均FTE</t>
        </is>
      </c>
      <c r="E7" s="6" t="inlineStr">
        <is>
          <t>primary_output_value, average_fte</t>
        </is>
      </c>
      <c r="F7" s="6" t="inlineStr">
        <is>
          <t>全行业；同类产出单位内可比</t>
        </is>
      </c>
      <c r="G7" s="6" t="inlineStr">
        <is>
          <t>高优</t>
        </is>
      </c>
      <c r="H7" s="6" t="inlineStr">
        <is>
          <t>单位人力创造的有效产出</t>
        </is>
      </c>
      <c r="I7" s="6" t="inlineStr">
        <is>
          <t>跨行业或单位不同不宜直接排名</t>
        </is>
      </c>
    </row>
    <row r="8" ht="42" customHeight="1">
      <c r="A8" s="6" t="inlineStr">
        <is>
          <t>REVENUE_PER_FTE</t>
        </is>
      </c>
      <c r="B8" s="6" t="inlineStr">
        <is>
          <t>人均确认收入</t>
        </is>
      </c>
      <c r="C8" s="6" t="inlineStr">
        <is>
          <t>经营结果</t>
        </is>
      </c>
      <c r="D8" s="6" t="inlineStr">
        <is>
          <t>确认收入 ÷ 平均FTE</t>
        </is>
      </c>
      <c r="E8" s="6" t="inlineStr">
        <is>
          <t>recognized_revenue, average_fte</t>
        </is>
      </c>
      <c r="F8" s="6" t="inlineStr">
        <is>
          <t>货币型</t>
        </is>
      </c>
      <c r="G8" s="6" t="inlineStr">
        <is>
          <t>高优</t>
        </is>
      </c>
      <c r="H8" s="6" t="inlineStr">
        <is>
          <t>规模型价值创造</t>
        </is>
      </c>
      <c r="I8" s="6" t="inlineStr">
        <is>
          <t>需配合毛利、回款看质量</t>
        </is>
      </c>
    </row>
    <row r="9" ht="42" customHeight="1">
      <c r="A9" s="6" t="inlineStr">
        <is>
          <t>GP_PER_FTE</t>
        </is>
      </c>
      <c r="B9" s="6" t="inlineStr">
        <is>
          <t>人均毛利</t>
        </is>
      </c>
      <c r="C9" s="6" t="inlineStr">
        <is>
          <t>经营结果</t>
        </is>
      </c>
      <c r="D9" s="6" t="inlineStr">
        <is>
          <t>毛利 ÷ 平均FTE</t>
        </is>
      </c>
      <c r="E9" s="6" t="inlineStr">
        <is>
          <t>gross_profit, average_fte</t>
        </is>
      </c>
      <c r="F9" s="6" t="inlineStr">
        <is>
          <t>货币型</t>
        </is>
      </c>
      <c r="G9" s="6" t="inlineStr">
        <is>
          <t>高优</t>
        </is>
      </c>
      <c r="H9" s="6" t="inlineStr">
        <is>
          <t>人力创造的质量型价值</t>
        </is>
      </c>
      <c r="I9" s="6" t="inlineStr">
        <is>
          <t>毛利口径须同财务对账</t>
        </is>
      </c>
    </row>
    <row r="10" ht="42" customHeight="1">
      <c r="A10" s="6" t="inlineStr">
        <is>
          <t>OP_PROFIT_PER_FTE</t>
        </is>
      </c>
      <c r="B10" s="6" t="inlineStr">
        <is>
          <t>人均经营利润</t>
        </is>
      </c>
      <c r="C10" s="6" t="inlineStr">
        <is>
          <t>经营结果</t>
        </is>
      </c>
      <c r="D10" s="6" t="inlineStr">
        <is>
          <t>经营利润 ÷ 平均FTE</t>
        </is>
      </c>
      <c r="E10" s="6" t="inlineStr">
        <is>
          <t>operating_profit, average_fte</t>
        </is>
      </c>
      <c r="F10" s="6" t="inlineStr">
        <is>
          <t>货币型</t>
        </is>
      </c>
      <c r="G10" s="6" t="inlineStr">
        <is>
          <t>高优</t>
        </is>
      </c>
      <c r="H10" s="6" t="inlineStr">
        <is>
          <t>最终经营回报</t>
        </is>
      </c>
      <c r="I10" s="6" t="inlineStr">
        <is>
          <t>受会计分摊和一次性项目影响</t>
        </is>
      </c>
    </row>
    <row r="11" ht="42" customHeight="1">
      <c r="A11" s="6" t="inlineStr">
        <is>
          <t>LABOR_COST_PER_FTE</t>
        </is>
      </c>
      <c r="B11" s="6" t="inlineStr">
        <is>
          <t>人均人工成本</t>
        </is>
      </c>
      <c r="C11" s="6" t="inlineStr">
        <is>
          <t>成本效率</t>
        </is>
      </c>
      <c r="D11" s="6" t="inlineStr">
        <is>
          <t>人工成本总额 ÷ 平均FTE</t>
        </is>
      </c>
      <c r="E11" s="6" t="inlineStr">
        <is>
          <t>labor_cost_total, average_fte</t>
        </is>
      </c>
      <c r="F11" s="6" t="inlineStr">
        <is>
          <t>全行业</t>
        </is>
      </c>
      <c r="G11" s="6" t="inlineStr">
        <is>
          <t>因情境判断</t>
        </is>
      </c>
      <c r="H11" s="6" t="inlineStr">
        <is>
          <t>单位人力投入强度</t>
        </is>
      </c>
      <c r="I11" s="6" t="inlineStr">
        <is>
          <t>不能孤立判定高低</t>
        </is>
      </c>
    </row>
    <row r="12" ht="42" customHeight="1">
      <c r="A12" s="6" t="inlineStr">
        <is>
          <t>REVENUE_PER_LABOR_COST</t>
        </is>
      </c>
      <c r="B12" s="6" t="inlineStr">
        <is>
          <t>单位人工成本收入</t>
        </is>
      </c>
      <c r="C12" s="6" t="inlineStr">
        <is>
          <t>成本效率</t>
        </is>
      </c>
      <c r="D12" s="6" t="inlineStr">
        <is>
          <t>确认收入 ÷ 人工成本总额</t>
        </is>
      </c>
      <c r="E12" s="6" t="inlineStr">
        <is>
          <t>recognized_revenue,labor_cost_total</t>
        </is>
      </c>
      <c r="F12" s="6" t="inlineStr">
        <is>
          <t>货币型</t>
        </is>
      </c>
      <c r="G12" s="6" t="inlineStr">
        <is>
          <t>高优</t>
        </is>
      </c>
      <c r="H12" s="6" t="inlineStr">
        <is>
          <t>每1元人工成本带来的收入</t>
        </is>
      </c>
      <c r="I12" s="6" t="inlineStr">
        <is>
          <t>需配合毛利和回款</t>
        </is>
      </c>
    </row>
    <row r="13" ht="42" customHeight="1">
      <c r="A13" s="6" t="inlineStr">
        <is>
          <t>GP_PER_LABOR_COST</t>
        </is>
      </c>
      <c r="B13" s="6" t="inlineStr">
        <is>
          <t>单位人工成本毛利</t>
        </is>
      </c>
      <c r="C13" s="6" t="inlineStr">
        <is>
          <t>成本效率</t>
        </is>
      </c>
      <c r="D13" s="6" t="inlineStr">
        <is>
          <t>毛利 ÷ 人工成本总额</t>
        </is>
      </c>
      <c r="E13" s="6" t="inlineStr">
        <is>
          <t>gross_profit,labor_cost_total</t>
        </is>
      </c>
      <c r="F13" s="6" t="inlineStr">
        <is>
          <t>货币型</t>
        </is>
      </c>
      <c r="G13" s="6" t="inlineStr">
        <is>
          <t>高优</t>
        </is>
      </c>
      <c r="H13" s="6" t="inlineStr">
        <is>
          <t>每1元人工成本带来的毛利</t>
        </is>
      </c>
      <c r="I13" s="6" t="inlineStr">
        <is>
          <t>建议作为核心投入回报指标</t>
        </is>
      </c>
    </row>
    <row r="14" ht="42" customHeight="1">
      <c r="A14" s="6" t="inlineStr">
        <is>
          <t>LABOR_COST_RATE</t>
        </is>
      </c>
      <c r="B14" s="6" t="inlineStr">
        <is>
          <t>人工成本率</t>
        </is>
      </c>
      <c r="C14" s="6" t="inlineStr">
        <is>
          <t>成本效率</t>
        </is>
      </c>
      <c r="D14" s="6" t="inlineStr">
        <is>
          <t>人工成本总额 ÷ 确认收入</t>
        </is>
      </c>
      <c r="E14" s="6" t="inlineStr">
        <is>
          <t>labor_cost_total,recognized_revenue</t>
        </is>
      </c>
      <c r="F14" s="6" t="inlineStr">
        <is>
          <t>货币型</t>
        </is>
      </c>
      <c r="G14" s="6" t="inlineStr">
        <is>
          <t>低优</t>
        </is>
      </c>
      <c r="H14" s="6" t="inlineStr">
        <is>
          <t>人力成本对收入的侵蚀</t>
        </is>
      </c>
      <c r="I14" s="6" t="inlineStr">
        <is>
          <t>收入极低或新业务阶段需单独解释</t>
        </is>
      </c>
    </row>
    <row r="15" ht="42" customHeight="1">
      <c r="A15" s="6" t="inlineStr">
        <is>
          <t>EFFECTIVE_HOUR_UTIL</t>
        </is>
      </c>
      <c r="B15" s="6" t="inlineStr">
        <is>
          <t>有效工时利用率</t>
        </is>
      </c>
      <c r="C15" s="6" t="inlineStr">
        <is>
          <t>过程效率</t>
        </is>
      </c>
      <c r="D15" s="6" t="inlineStr">
        <is>
          <t>有效工时 ÷ 可用工时</t>
        </is>
      </c>
      <c r="E15" s="6" t="inlineStr">
        <is>
          <t>productive_hours,available_hours</t>
        </is>
      </c>
      <c r="F15" s="6" t="inlineStr">
        <is>
          <t>有工时数据行业</t>
        </is>
      </c>
      <c r="G15" s="6" t="inlineStr">
        <is>
          <t>高优</t>
        </is>
      </c>
      <c r="H15" s="6" t="inlineStr">
        <is>
          <t>工时是否用于关键价值活动</t>
        </is>
      </c>
      <c r="I15" s="6" t="inlineStr">
        <is>
          <t>有效工时定义需要业务共识</t>
        </is>
      </c>
    </row>
    <row r="16" ht="42" customHeight="1">
      <c r="A16" s="6" t="inlineStr">
        <is>
          <t>MANAGER_RATIO</t>
        </is>
      </c>
      <c r="B16" s="6" t="inlineStr">
        <is>
          <t>管理人员占比</t>
        </is>
      </c>
      <c r="C16" s="6" t="inlineStr">
        <is>
          <t>人员结构</t>
        </is>
      </c>
      <c r="D16" s="6" t="inlineStr">
        <is>
          <t>管理FTE ÷ 总FTE</t>
        </is>
      </c>
      <c r="E16" s="6" t="inlineStr">
        <is>
          <t>manager_fte,average_fte</t>
        </is>
      </c>
      <c r="F16" s="6" t="inlineStr">
        <is>
          <t>全行业</t>
        </is>
      </c>
      <c r="G16" s="6" t="inlineStr">
        <is>
          <t>因情境判断</t>
        </is>
      </c>
      <c r="H16" s="6" t="inlineStr">
        <is>
          <t>组织管理资源密度</t>
        </is>
      </c>
      <c r="I16" s="6" t="inlineStr">
        <is>
          <t>与管理幅度、业务复杂度联动解读</t>
        </is>
      </c>
    </row>
    <row r="17" ht="42" customHeight="1">
      <c r="A17" s="6" t="inlineStr">
        <is>
          <t>NEW_HIRE_RATIO</t>
        </is>
      </c>
      <c r="B17" s="6" t="inlineStr">
        <is>
          <t>新员工占比</t>
        </is>
      </c>
      <c r="C17" s="6" t="inlineStr">
        <is>
          <t>人员结构</t>
        </is>
      </c>
      <c r="D17" s="6" t="inlineStr">
        <is>
          <t>新人FTE ÷ 总FTE</t>
        </is>
      </c>
      <c r="E17" s="6" t="inlineStr">
        <is>
          <t>service_cohort,average_fte</t>
        </is>
      </c>
      <c r="F17" s="6" t="inlineStr">
        <is>
          <t>全行业</t>
        </is>
      </c>
      <c r="G17" s="6" t="inlineStr">
        <is>
          <t>因情境判断</t>
        </is>
      </c>
      <c r="H17" s="6" t="inlineStr">
        <is>
          <t>解释产出爬坡</t>
        </is>
      </c>
      <c r="I17" s="6" t="inlineStr">
        <is>
          <t>不是低效结论，应看达产周期</t>
        </is>
      </c>
    </row>
    <row r="18" ht="42" customHeight="1">
      <c r="A18" s="6" t="inlineStr">
        <is>
          <t>QUALITY_GUARDRAIL</t>
        </is>
      </c>
      <c r="B18" s="6" t="inlineStr">
        <is>
          <t>质量可持续护栏</t>
        </is>
      </c>
      <c r="C18" s="6" t="inlineStr">
        <is>
          <t>过程质量</t>
        </is>
      </c>
      <c r="D18" s="6" t="inlineStr">
        <is>
          <t>质量、延期、返工、投诉、流失、加班等指标组合</t>
        </is>
      </c>
      <c r="E18" s="6" t="inlineStr">
        <is>
          <t>过程质量表</t>
        </is>
      </c>
      <c r="F18" s="6" t="inlineStr">
        <is>
          <t>全行业</t>
        </is>
      </c>
      <c r="G18" s="6" t="inlineStr">
        <is>
          <t>按指标定义</t>
        </is>
      </c>
      <c r="H18" s="6" t="inlineStr">
        <is>
          <t>防止以透支质量/员工换表面人效</t>
        </is>
      </c>
      <c r="I18" s="6" t="inlineStr">
        <is>
          <t>只作风险提示，需人工核验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40" customWidth="1" min="4" max="4"/>
    <col width="44" customWidth="1" min="5" max="5"/>
    <col width="22" customWidth="1" min="6" max="6"/>
    <col width="16" customWidth="1" min="7" max="7"/>
    <col width="18" customWidth="1" min="8" max="8"/>
    <col width="28" customWidth="1" min="9" max="9"/>
  </cols>
  <sheetData>
    <row r="1" ht="28" customHeight="1">
      <c r="A1" s="1" t="inlineStr">
        <is>
          <t>09｜自动诊断与预警规则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以下规则应输出“事实 + 可能原因 + 核验路径 + 建议动作”，而不是直接给出因果定论。阈值请在01/06页按企业阶段调整。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rule_id</t>
        </is>
      </c>
      <c r="B4" s="4" t="inlineStr">
        <is>
          <t>trigger_fact</t>
        </is>
      </c>
      <c r="C4" s="4" t="inlineStr">
        <is>
          <t>possible_hypothesis</t>
        </is>
      </c>
      <c r="D4" s="4" t="inlineStr">
        <is>
          <t>verification_path</t>
        </is>
      </c>
      <c r="E4" s="4" t="inlineStr">
        <is>
          <t>recommended_action</t>
        </is>
      </c>
      <c r="F4" s="4" t="inlineStr">
        <is>
          <t>action_domain</t>
        </is>
      </c>
      <c r="G4" s="4" t="inlineStr">
        <is>
          <t>severity_default</t>
        </is>
      </c>
      <c r="H4" s="4" t="inlineStr">
        <is>
          <t>applicable_model</t>
        </is>
      </c>
      <c r="I4" s="4" t="inlineStr">
        <is>
          <t>notes</t>
        </is>
      </c>
    </row>
    <row r="5" ht="58" customHeight="1">
      <c r="A5" s="7" t="inlineStr">
        <is>
          <t>R01</t>
        </is>
      </c>
      <c r="B5" s="7" t="inlineStr">
        <is>
          <t>人均主产出下降且FTE增长快于主产出</t>
        </is>
      </c>
      <c r="C5" s="7" t="inlineStr">
        <is>
          <t>人员扩张快于业务承接，或新人尚在爬坡</t>
        </is>
      </c>
      <c r="D5" s="7" t="inlineStr">
        <is>
          <t>拆分收入/产出、FTE、新人占比、达产周期、空缺/外包</t>
        </is>
      </c>
      <c r="E5" s="7" t="inlineStr">
        <is>
          <t>区分战略储备与结构性冗余；按岗位审视编制与达产计划</t>
        </is>
      </c>
      <c r="F5" s="7" t="inlineStr">
        <is>
          <t>组织/结构</t>
        </is>
      </c>
      <c r="G5" s="7" t="inlineStr">
        <is>
          <t>黄</t>
        </is>
      </c>
      <c r="H5" s="7" t="inlineStr">
        <is>
          <t>全模型</t>
        </is>
      </c>
      <c r="I5" s="7" t="inlineStr">
        <is>
          <t>仅为待验证假设</t>
        </is>
      </c>
    </row>
    <row r="6" ht="58" customHeight="1">
      <c r="A6" s="7" t="inlineStr">
        <is>
          <t>R02</t>
        </is>
      </c>
      <c r="B6" s="7" t="inlineStr">
        <is>
          <t>人均收入稳定但人均毛利/利润下降</t>
        </is>
      </c>
      <c r="C6" s="7" t="inlineStr">
        <is>
          <t>价格、产品组合、交付成本或返工恶化</t>
        </is>
      </c>
      <c r="D6" s="7" t="inlineStr">
        <is>
          <t>查看毛利率、折扣、返工、项目延期、客户投诉</t>
        </is>
      </c>
      <c r="E6" s="7" t="inlineStr">
        <is>
          <t>优化产品/客户组合与交付流程；避免只追收入</t>
        </is>
      </c>
      <c r="F6" s="7" t="inlineStr">
        <is>
          <t>流程/业务策略</t>
        </is>
      </c>
      <c r="G6" s="7" t="inlineStr">
        <is>
          <t>红</t>
        </is>
      </c>
      <c r="H6" s="7" t="inlineStr">
        <is>
          <t>货币型</t>
        </is>
      </c>
      <c r="I6" s="7" t="inlineStr">
        <is>
          <t>质量型价值优先</t>
        </is>
      </c>
    </row>
    <row r="7" ht="58" customHeight="1">
      <c r="A7" s="7" t="inlineStr">
        <is>
          <t>R03</t>
        </is>
      </c>
      <c r="B7" s="7" t="inlineStr">
        <is>
          <t>人均产出下降且新员工比例高、达产周期拉长</t>
        </is>
      </c>
      <c r="C7" s="7" t="inlineStr">
        <is>
          <t>招聘质量、带教、培训或任务分配存在问题</t>
        </is>
      </c>
      <c r="D7" s="7" t="inlineStr">
        <is>
          <t>看新员工cohort转化、带教覆盖、培训转化、岗位空缺</t>
        </is>
      </c>
      <c r="E7" s="7" t="inlineStr">
        <is>
          <t>优化新人培养和任务配置；设置分阶段达产目标</t>
        </is>
      </c>
      <c r="F7" s="7" t="inlineStr">
        <is>
          <t>能力</t>
        </is>
      </c>
      <c r="G7" s="7" t="inlineStr">
        <is>
          <t>黄</t>
        </is>
      </c>
      <c r="H7" s="7" t="inlineStr">
        <is>
          <t>全模型</t>
        </is>
      </c>
      <c r="I7" s="7" t="inlineStr">
        <is>
          <t>将新业务/扩张期单独比较</t>
        </is>
      </c>
    </row>
    <row r="8" ht="58" customHeight="1">
      <c r="A8" s="7" t="inlineStr">
        <is>
          <t>R04</t>
        </is>
      </c>
      <c r="B8" s="7" t="inlineStr">
        <is>
          <t>人均产出下降且管理人员占比上升/管理幅度过窄</t>
        </is>
      </c>
      <c r="C8" s="7" t="inlineStr">
        <is>
          <t>组织层级增加、职责重叠或管理资源过密</t>
        </is>
      </c>
      <c r="D8" s="7" t="inlineStr">
        <is>
          <t>看层级、管理跨度、前中后台比例、审批周期</t>
        </is>
      </c>
      <c r="E8" s="7" t="inlineStr">
        <is>
          <t>梳理职责、压缩非增值流程、优化管理跨度</t>
        </is>
      </c>
      <c r="F8" s="7" t="inlineStr">
        <is>
          <t>组织/结构</t>
        </is>
      </c>
      <c r="G8" s="7" t="inlineStr">
        <is>
          <t>黄</t>
        </is>
      </c>
      <c r="H8" s="7" t="inlineStr">
        <is>
          <t>全模型</t>
        </is>
      </c>
      <c r="I8" s="7" t="inlineStr">
        <is>
          <t>不设置一刀切管理幅度</t>
        </is>
      </c>
    </row>
    <row r="9" ht="58" customHeight="1">
      <c r="A9" s="7" t="inlineStr">
        <is>
          <t>R05</t>
        </is>
      </c>
      <c r="B9" s="7" t="inlineStr">
        <is>
          <t>高产出同时加班、投诉、返工或关键人才流失恶化</t>
        </is>
      </c>
      <c r="C9" s="7" t="inlineStr">
        <is>
          <t>以透支人力或质量换取短期结果</t>
        </is>
      </c>
      <c r="D9" s="7" t="inlineStr">
        <is>
          <t>看加班、缺勤、离职、返工、投诉、交付延期趋势</t>
        </is>
      </c>
      <c r="E9" s="7" t="inlineStr">
        <is>
          <t>设置可持续性护栏；调配资源、流程与工具</t>
        </is>
      </c>
      <c r="F9" s="7" t="inlineStr">
        <is>
          <t>流程/组织健康</t>
        </is>
      </c>
      <c r="G9" s="7" t="inlineStr">
        <is>
          <t>红</t>
        </is>
      </c>
      <c r="H9" s="7" t="inlineStr">
        <is>
          <t>全模型</t>
        </is>
      </c>
      <c r="I9" s="7" t="inlineStr">
        <is>
          <t>不把高人效等同于少人或高压</t>
        </is>
      </c>
    </row>
    <row r="10" ht="58" customHeight="1">
      <c r="A10" s="7" t="inlineStr">
        <is>
          <t>R06</t>
        </is>
      </c>
      <c r="B10" s="7" t="inlineStr">
        <is>
          <t>人工成本增速快于收入/毛利增速</t>
        </is>
      </c>
      <c r="C10" s="7" t="inlineStr">
        <is>
          <t>薪酬结构、编制、外包或招聘培训投入失配</t>
        </is>
      </c>
      <c r="D10" s="7" t="inlineStr">
        <is>
          <t>拆分成本构成、岗位层级、外包FTE和业务产出</t>
        </is>
      </c>
      <c r="E10" s="7" t="inlineStr">
        <is>
          <t>优化成本结构和资源配置；评估投入ROI</t>
        </is>
      </c>
      <c r="F10" s="7" t="inlineStr">
        <is>
          <t>激励/结构</t>
        </is>
      </c>
      <c r="G10" s="7" t="inlineStr">
        <is>
          <t>黄</t>
        </is>
      </c>
      <c r="H10" s="7" t="inlineStr">
        <is>
          <t>货币型</t>
        </is>
      </c>
      <c r="I10" s="7" t="inlineStr">
        <is>
          <t>新业务投入需单独解释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2026-08-31T08:05:05Z</dcterms:created>
  <dcterms:modified xmlns:dcterms="http://purl.org/dc/terms/" xmlns:xsi="http://www.w3.org/2001/XMLSchema-instance" xsi:type="dcterms:W3CDTF">2026-08-31T08:05:05Z</dcterms:modified>
</cp:coreProperties>
</file>